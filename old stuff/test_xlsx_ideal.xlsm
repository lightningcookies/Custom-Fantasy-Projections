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s/Documents/School/R tinkering/custom-projections/Custom-Fantasy-Projections/"/>
    </mc:Choice>
  </mc:AlternateContent>
  <xr:revisionPtr revIDLastSave="0" documentId="8_{01A1D0B7-C453-0547-97C4-7A2A49F2BDA2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combined_tables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4" i="33" l="1"/>
  <c r="W53" i="33"/>
  <c r="W52" i="33"/>
  <c r="W51" i="33"/>
  <c r="W50" i="33"/>
  <c r="W49" i="33"/>
  <c r="W48" i="33"/>
  <c r="W47" i="33"/>
  <c r="W46" i="33"/>
  <c r="W45" i="33"/>
  <c r="W44" i="33"/>
  <c r="W43" i="33"/>
  <c r="W42" i="33"/>
  <c r="W41" i="33"/>
  <c r="W40" i="33"/>
  <c r="W39" i="33"/>
  <c r="W38" i="33"/>
  <c r="W37" i="33"/>
  <c r="W36" i="33"/>
  <c r="W35" i="33"/>
  <c r="W34" i="33"/>
  <c r="W33" i="33"/>
  <c r="W32" i="33"/>
  <c r="W31" i="33"/>
  <c r="W30" i="33"/>
  <c r="W29" i="33"/>
  <c r="W28" i="33"/>
  <c r="W27" i="33"/>
  <c r="W26" i="33"/>
  <c r="W25" i="33"/>
  <c r="W24" i="33"/>
  <c r="W23" i="33"/>
  <c r="W22" i="33"/>
  <c r="W21" i="33"/>
  <c r="W20" i="33"/>
  <c r="W19" i="33"/>
  <c r="W18" i="33"/>
  <c r="W17" i="33"/>
  <c r="W16" i="33"/>
  <c r="W15" i="33"/>
  <c r="W14" i="33"/>
  <c r="W13" i="33"/>
  <c r="W12" i="33"/>
  <c r="W11" i="33"/>
  <c r="W10" i="33"/>
  <c r="W9" i="33"/>
  <c r="W8" i="33"/>
  <c r="W7" i="33"/>
  <c r="W6" i="33"/>
  <c r="W3" i="33"/>
  <c r="W5" i="33"/>
  <c r="W4" i="33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4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3" i="2"/>
  <c r="W42" i="2"/>
  <c r="W41" i="2"/>
  <c r="W40" i="2"/>
  <c r="W39" i="2"/>
  <c r="W38" i="2"/>
  <c r="W37" i="2"/>
  <c r="W36" i="2"/>
  <c r="L33" i="1"/>
  <c r="K33" i="1"/>
  <c r="J33" i="1"/>
  <c r="H33" i="1"/>
  <c r="I33" i="1" s="1"/>
  <c r="F33" i="1"/>
  <c r="E33" i="1"/>
  <c r="D33" i="1"/>
  <c r="C33" i="1"/>
</calcChain>
</file>

<file path=xl/sharedStrings.xml><?xml version="1.0" encoding="utf-8"?>
<sst xmlns="http://schemas.openxmlformats.org/spreadsheetml/2006/main" count="11223" uniqueCount="1658">
  <si>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</si>
  <si>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</si>
  <si>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</si>
  <si>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</si>
  <si>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</si>
  <si>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</si>
  <si>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</si>
  <si>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</si>
  <si>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</si>
  <si>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</si>
  <si>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</si>
  <si>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</si>
  <si>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</si>
  <si>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</si>
  <si>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</si>
  <si>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</si>
  <si>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</si>
  <si>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</si>
  <si>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</si>
  <si>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</si>
  <si>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</si>
  <si>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</si>
  <si>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</si>
  <si>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</si>
  <si>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f_custom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</si>
  <si>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</si>
  <si>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</si>
  <si>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</si>
  <si>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</si>
  <si>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</si>
  <si>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</si>
  <si>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</si>
  <si>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</si>
  <si>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</si>
  <si>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</si>
  <si>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</si>
  <si>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</si>
  <si>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</si>
  <si>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</si>
  <si>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</si>
  <si>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</si>
  <si>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</si>
  <si>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</si>
  <si>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</si>
  <si>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</si>
  <si>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</si>
  <si>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</si>
  <si>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</si>
  <si>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</si>
  <si>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</si>
  <si>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</si>
  <si>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</si>
  <si>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</si>
  <si>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</si>
  <si>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</si>
  <si>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</si>
  <si>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/>
  </si>
  <si>
    <t>Name</t>
  </si>
  <si>
    <t>POS</t>
  </si>
  <si>
    <t>Age</t>
  </si>
  <si>
    <t>Exp</t>
  </si>
  <si>
    <t>College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</si>
  <si>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</si>
  <si>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</si>
  <si>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</si>
  <si>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</si>
  <si>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</si>
  <si>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</si>
  <si>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</si>
  <si>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</si>
  <si>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</si>
  <si>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</si>
  <si>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</si>
  <si>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</si>
  <si>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</si>
  <si>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</si>
  <si>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</si>
  <si>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</si>
  <si>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</si>
  <si>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</si>
  <si>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</si>
  <si>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</si>
  <si>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</si>
  <si>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</si>
  <si>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</si>
  <si>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</si>
  <si>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</si>
  <si>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</si>
  <si>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</si>
  <si>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</si>
  <si>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</si>
  <si>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</si>
  <si>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</si>
  <si>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</si>
  <si>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</si>
  <si>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</si>
  <si>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</si>
  <si>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</si>
  <si>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</si>
  <si>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</si>
  <si>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</si>
  <si>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</si>
  <si>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</si>
  <si>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Chris Pierce Jr.</t>
  </si>
  <si>
    <t>Vanderbilt</t>
  </si>
  <si>
    <t>Bernhard Seikovits</t>
  </si>
  <si>
    <t>--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</si>
  <si>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</si>
  <si>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</si>
  <si>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</si>
  <si>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</si>
  <si>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</si>
  <si>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</si>
  <si>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</si>
  <si>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</si>
  <si>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</si>
  <si>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</si>
  <si>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</si>
  <si>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</si>
  <si>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</si>
  <si>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</si>
  <si>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</si>
  <si>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</si>
  <si>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</si>
  <si>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</si>
  <si>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</si>
  <si>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</si>
  <si>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</si>
  <si>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</si>
  <si>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</si>
  <si>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</si>
  <si>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</si>
  <si>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</si>
  <si>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</si>
  <si>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</si>
  <si>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</si>
  <si>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</si>
  <si>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B.J. Baylor</t>
  </si>
  <si>
    <t>Caleb Huntley</t>
  </si>
  <si>
    <t>Ball State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</si>
  <si>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</si>
  <si>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</si>
  <si>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</si>
  <si>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</si>
  <si>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</si>
  <si>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</si>
  <si>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Southeastern Louisiana</t>
  </si>
  <si>
    <t>Josh Ali</t>
  </si>
  <si>
    <t>Kentucky</t>
  </si>
  <si>
    <t>J.J. Arcega-Whiteside</t>
  </si>
  <si>
    <t>Chris Blair</t>
  </si>
  <si>
    <t>Alcorn State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</si>
  <si>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</si>
  <si>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</si>
  <si>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</si>
  <si>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</si>
  <si>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</si>
  <si>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</si>
  <si>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</si>
  <si>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</si>
  <si>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</si>
  <si>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</si>
  <si>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</si>
  <si>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</si>
  <si>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</si>
  <si>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</si>
  <si>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</si>
  <si>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Scotty Miller</t>
  </si>
  <si>
    <t>Bowling Green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</si>
  <si>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</si>
  <si>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</si>
  <si>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</si>
  <si>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</si>
  <si>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</si>
  <si>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</si>
  <si>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</si>
  <si>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</si>
  <si>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</si>
  <si>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</si>
  <si>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</si>
  <si>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</si>
  <si>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</si>
  <si>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</si>
  <si>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</si>
  <si>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</si>
  <si>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</si>
  <si>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</si>
  <si>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</si>
  <si>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</si>
  <si>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</si>
  <si>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</si>
  <si>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</si>
  <si>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</si>
  <si>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</si>
  <si>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</si>
  <si>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</si>
  <si>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</si>
  <si>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</si>
  <si>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</si>
  <si>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</si>
  <si>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</si>
  <si>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</si>
  <si>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</si>
  <si>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</si>
  <si>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</si>
  <si>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</si>
  <si>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</si>
  <si>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</si>
  <si>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</si>
  <si>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</si>
  <si>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</si>
  <si>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</si>
  <si>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</si>
  <si>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</si>
  <si>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</si>
  <si>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</si>
  <si>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</si>
  <si>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</si>
  <si>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</si>
  <si>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</si>
  <si>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</si>
  <si>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</si>
  <si>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</si>
  <si>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</si>
  <si>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</si>
  <si>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</si>
  <si>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</si>
  <si>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</si>
  <si>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</si>
  <si>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</si>
  <si>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</si>
  <si>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Andy Isabella</t>
  </si>
  <si>
    <t>UMass</t>
  </si>
  <si>
    <t>James Proche II</t>
  </si>
  <si>
    <t>SMU</t>
  </si>
  <si>
    <t>Sean Ryan</t>
  </si>
  <si>
    <t>Mike Thomas</t>
  </si>
  <si>
    <t>Southern Miss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</si>
  <si>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</si>
  <si>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</si>
  <si>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</si>
  <si>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</si>
  <si>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</si>
  <si>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</si>
  <si>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</si>
  <si>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</si>
  <si>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</si>
  <si>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</si>
  <si>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</si>
  <si>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</si>
  <si>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</si>
  <si>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</si>
  <si>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</si>
  <si>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</si>
  <si>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</si>
  <si>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</si>
  <si>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</si>
  <si>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</si>
  <si>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</si>
  <si>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</si>
  <si>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</si>
  <si>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</si>
  <si>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</si>
  <si>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</si>
  <si>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</si>
  <si>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</si>
  <si>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</si>
  <si>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</si>
  <si>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</si>
  <si>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</si>
  <si>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</si>
  <si>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</si>
  <si>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</si>
  <si>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</si>
  <si>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</si>
  <si>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Damien Harris</t>
  </si>
  <si>
    <t>Nyheim Hines</t>
  </si>
  <si>
    <t>NC State</t>
  </si>
  <si>
    <t>Jordan Mims</t>
  </si>
  <si>
    <t>Fresno State</t>
  </si>
  <si>
    <t>Latavius Murray</t>
  </si>
  <si>
    <t>UCF</t>
  </si>
  <si>
    <t>Isaiah Coulter</t>
  </si>
  <si>
    <t>Rhode Island</t>
  </si>
  <si>
    <t>Gabe Davis</t>
  </si>
  <si>
    <t>Stefon Diggs</t>
  </si>
  <si>
    <t>Deonte Harty</t>
  </si>
  <si>
    <t>Assumption</t>
  </si>
  <si>
    <t>Braydon Johnson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</si>
  <si>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</si>
  <si>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</si>
  <si>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</si>
  <si>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</si>
  <si>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</si>
  <si>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</si>
  <si>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</si>
  <si>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</si>
  <si>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Justin Shorter</t>
  </si>
  <si>
    <t>Bryan Thompson</t>
  </si>
  <si>
    <t>Jalen Wayne</t>
  </si>
  <si>
    <t>South Alabama</t>
  </si>
  <si>
    <t>Zach Davidson</t>
  </si>
  <si>
    <t>Central Missouri State</t>
  </si>
  <si>
    <t>Nick Guggemos</t>
  </si>
  <si>
    <t>St. Thomas (MN)</t>
  </si>
  <si>
    <t>Dalton Kincaid</t>
  </si>
  <si>
    <t>Dawson Knox</t>
  </si>
  <si>
    <t>Quintin Morris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</si>
  <si>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</si>
  <si>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</si>
  <si>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</si>
  <si>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</si>
  <si>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</si>
  <si>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</si>
  <si>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</si>
  <si>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</si>
  <si>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</si>
  <si>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</si>
  <si>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</si>
  <si>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</si>
  <si>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</si>
  <si>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</si>
  <si>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</si>
  <si>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</si>
  <si>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</si>
  <si>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</si>
  <si>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</si>
  <si>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</si>
  <si>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</si>
  <si>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</si>
  <si>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Bryce Young</t>
  </si>
  <si>
    <t>Raheem Blackshear</t>
  </si>
  <si>
    <t>Virginia Tech</t>
  </si>
  <si>
    <t>Spencer Brown</t>
  </si>
  <si>
    <t>UAB</t>
  </si>
  <si>
    <t>Tiyon Evans</t>
  </si>
  <si>
    <t>Chuba Hubbard</t>
  </si>
  <si>
    <t>Camerun Peoples</t>
  </si>
  <si>
    <t>Appalachian State</t>
  </si>
  <si>
    <t>Miles Sanders</t>
  </si>
  <si>
    <t>Penn State</t>
  </si>
  <si>
    <t>Damiere Byrd</t>
  </si>
  <si>
    <t>South Carolina</t>
  </si>
  <si>
    <t>DJ Chark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</si>
  <si>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</si>
  <si>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</si>
  <si>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</si>
  <si>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</si>
  <si>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</si>
  <si>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</si>
  <si>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</si>
  <si>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Marquez Stevenson</t>
  </si>
  <si>
    <t>Adam Thielen</t>
  </si>
  <si>
    <t>Minnesota St</t>
  </si>
  <si>
    <t>Josh Vann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</si>
  <si>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</si>
  <si>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</si>
  <si>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</si>
  <si>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</si>
  <si>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</si>
  <si>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</si>
  <si>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</si>
  <si>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</si>
  <si>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</si>
  <si>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</si>
  <si>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</si>
  <si>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</si>
  <si>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</si>
  <si>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</si>
  <si>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</si>
  <si>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</si>
  <si>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</si>
  <si>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</si>
  <si>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</si>
  <si>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</si>
  <si>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</si>
  <si>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</si>
  <si>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</si>
  <si>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</si>
  <si>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</si>
  <si>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</si>
  <si>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</si>
  <si>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</si>
  <si>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</si>
  <si>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</si>
  <si>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</si>
  <si>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</si>
  <si>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</si>
  <si>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</si>
  <si>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</si>
  <si>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</si>
  <si>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</si>
  <si>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</si>
  <si>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</si>
  <si>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</si>
  <si>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</si>
  <si>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</si>
  <si>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</si>
  <si>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</si>
  <si>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</si>
  <si>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</si>
  <si>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Aron Cruickshank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</si>
  <si>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</si>
  <si>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</si>
  <si>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</si>
  <si>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</si>
  <si>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</si>
  <si>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</si>
  <si>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</si>
  <si>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Thyrick Pitts</t>
  </si>
  <si>
    <t>Delaware</t>
  </si>
  <si>
    <t>Joe Reed</t>
  </si>
  <si>
    <t>Virginia</t>
  </si>
  <si>
    <t>Tyler Scott</t>
  </si>
  <si>
    <t>Equanimeous St. Brown</t>
  </si>
  <si>
    <t>Nsimba Webster</t>
  </si>
  <si>
    <t>Eastern Washington</t>
  </si>
  <si>
    <t>Chase Allen</t>
  </si>
  <si>
    <t>Stephen Carlson</t>
  </si>
  <si>
    <t>Princeton</t>
  </si>
  <si>
    <t>Cole Kmet</t>
  </si>
  <si>
    <t>Jake Tonges</t>
  </si>
  <si>
    <t>California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</si>
  <si>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</si>
  <si>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</si>
  <si>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</si>
  <si>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</si>
  <si>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</si>
  <si>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</si>
  <si>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</si>
  <si>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</si>
  <si>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</si>
  <si>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</si>
  <si>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</si>
  <si>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</si>
  <si>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</si>
  <si>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</si>
  <si>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</si>
  <si>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</si>
  <si>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</si>
  <si>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</si>
  <si>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</si>
  <si>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</si>
  <si>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</si>
  <si>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</si>
  <si>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Northwestern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</si>
  <si>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</si>
  <si>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</si>
  <si>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</si>
  <si>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</si>
  <si>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</si>
  <si>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</si>
  <si>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</si>
  <si>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</si>
  <si>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Texas A&amp;M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</si>
  <si>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</si>
  <si>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</si>
  <si>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</si>
  <si>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</si>
  <si>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</si>
  <si>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</si>
  <si>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</si>
  <si>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</si>
  <si>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</si>
  <si>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</si>
  <si>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</si>
  <si>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</si>
  <si>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</si>
  <si>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</si>
  <si>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</si>
  <si>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</si>
  <si>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</si>
  <si>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</si>
  <si>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UCLA</t>
  </si>
  <si>
    <t>Nick Bowers</t>
  </si>
  <si>
    <t>Tanner Hudson</t>
  </si>
  <si>
    <t>Southern Arkansas</t>
  </si>
  <si>
    <t>Drew Sample</t>
  </si>
  <si>
    <t>Irv Smith Jr.</t>
  </si>
  <si>
    <t>Christian Trahan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</si>
  <si>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</si>
  <si>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</si>
  <si>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</si>
  <si>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</si>
  <si>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</si>
  <si>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</si>
  <si>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</si>
  <si>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</si>
  <si>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</si>
  <si>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</si>
  <si>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</si>
  <si>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</si>
  <si>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</si>
  <si>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</si>
  <si>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</si>
  <si>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</si>
  <si>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</si>
  <si>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</si>
  <si>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</si>
  <si>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</si>
  <si>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</si>
  <si>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</si>
  <si>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</si>
  <si>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</si>
  <si>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</si>
  <si>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</si>
  <si>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Nate McCrary</t>
  </si>
  <si>
    <t>Saginaw Valley</t>
  </si>
  <si>
    <t>Daylen Baldwin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</si>
  <si>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</si>
  <si>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</si>
  <si>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</si>
  <si>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</si>
  <si>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</si>
  <si>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</si>
  <si>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</si>
  <si>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</si>
  <si>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Ra'Shaun Henry</t>
  </si>
  <si>
    <t>Elijah Moore</t>
  </si>
  <si>
    <t>Donovan Peoples-Jones</t>
  </si>
  <si>
    <t>Anthony Schwartz</t>
  </si>
  <si>
    <t>Cedric Tillman</t>
  </si>
  <si>
    <t>Michael Woods II</t>
  </si>
  <si>
    <t>Jordan Akins</t>
  </si>
  <si>
    <t>Harrison Bryant</t>
  </si>
  <si>
    <t>Florida Atlantic</t>
  </si>
  <si>
    <t>Thomas Greaney</t>
  </si>
  <si>
    <t>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</si>
  <si>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</si>
  <si>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</si>
  <si>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</si>
  <si>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</si>
  <si>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</si>
  <si>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</si>
  <si>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</si>
  <si>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</si>
  <si>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</si>
  <si>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</si>
  <si>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</si>
  <si>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</si>
  <si>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</si>
  <si>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</si>
  <si>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</si>
  <si>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</si>
  <si>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</si>
  <si>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</si>
  <si>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</si>
  <si>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</si>
  <si>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</si>
  <si>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</si>
  <si>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</si>
  <si>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</si>
  <si>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</si>
  <si>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</si>
  <si>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</si>
  <si>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</si>
  <si>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</si>
  <si>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</si>
  <si>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</si>
  <si>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</si>
  <si>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</si>
  <si>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</si>
  <si>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</si>
  <si>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</si>
  <si>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</si>
  <si>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</si>
  <si>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</si>
  <si>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</si>
  <si>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</si>
  <si>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</si>
  <si>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</si>
  <si>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</si>
  <si>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</si>
  <si>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</si>
  <si>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</si>
  <si>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</si>
  <si>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</si>
  <si>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</si>
  <si>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</si>
  <si>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</si>
  <si>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</si>
  <si>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</si>
  <si>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</si>
  <si>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</si>
  <si>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</si>
  <si>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</si>
  <si>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</si>
  <si>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</si>
  <si>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</si>
  <si>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</si>
  <si>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</si>
  <si>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</si>
  <si>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</si>
  <si>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</si>
  <si>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</si>
  <si>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</si>
  <si>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</si>
  <si>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</si>
  <si>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</si>
  <si>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</si>
  <si>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</si>
  <si>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</si>
  <si>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</si>
  <si>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</si>
  <si>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</si>
  <si>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</si>
  <si>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</si>
  <si>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</si>
  <si>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</si>
  <si>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</si>
  <si>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</si>
  <si>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Guarantano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</si>
  <si>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</si>
  <si>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</si>
  <si>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</si>
  <si>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</si>
  <si>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</si>
  <si>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</si>
  <si>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</si>
  <si>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</si>
  <si>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Javonte Williams</t>
  </si>
  <si>
    <t>Marquez Callaway</t>
  </si>
  <si>
    <t>Taylor Grimes</t>
  </si>
  <si>
    <t>Incarnate Word</t>
  </si>
  <si>
    <t>KJ Hamler</t>
  </si>
  <si>
    <t>Kendall Hinton</t>
  </si>
  <si>
    <t>Lil'Jordan Humphrey</t>
  </si>
  <si>
    <t>Jerry Jeudy</t>
  </si>
  <si>
    <t>Brandon Johnson</t>
  </si>
  <si>
    <t>Marvin Mims Jr.</t>
  </si>
  <si>
    <t>Tim Patrick</t>
  </si>
  <si>
    <t>Courtland Sutton</t>
  </si>
  <si>
    <t>Jalen Virgil</t>
  </si>
  <si>
    <t>Montrell Washington</t>
  </si>
  <si>
    <t>Samford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</si>
  <si>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</si>
  <si>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</si>
  <si>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</si>
  <si>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</si>
  <si>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</si>
  <si>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</si>
  <si>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</si>
  <si>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</si>
  <si>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</si>
  <si>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</si>
  <si>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</si>
  <si>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</si>
  <si>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</si>
  <si>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</si>
  <si>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</si>
  <si>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</si>
  <si>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</si>
  <si>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</si>
  <si>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</si>
  <si>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</si>
  <si>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</si>
  <si>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</si>
  <si>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</si>
  <si>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</si>
  <si>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</si>
  <si>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</si>
  <si>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Jared Goff</t>
  </si>
  <si>
    <t>Hendon Hooker</t>
  </si>
  <si>
    <t>Adrian Martinez</t>
  </si>
  <si>
    <t>Nate Sudfeld</t>
  </si>
  <si>
    <t>Greg Bell</t>
  </si>
  <si>
    <t>San Diego State</t>
  </si>
  <si>
    <t>Jahmyr Gibbs</t>
  </si>
  <si>
    <t>Mohamed Ibrahim</t>
  </si>
  <si>
    <t>Jermar Jefferson</t>
  </si>
  <si>
    <t>David Montgomery</t>
  </si>
  <si>
    <t>Craig Reynolds</t>
  </si>
  <si>
    <t>Kutztown</t>
  </si>
  <si>
    <t>Maurice Alexander</t>
  </si>
  <si>
    <t>Trinity Benson</t>
  </si>
  <si>
    <t>East Central</t>
  </si>
  <si>
    <t>Chase Cota</t>
  </si>
  <si>
    <t>Dylan Drummond</t>
  </si>
  <si>
    <t>Eastern Michigan</t>
  </si>
  <si>
    <t>Antoine Green</t>
  </si>
  <si>
    <t>Marvin Jones Jr.</t>
  </si>
  <si>
    <t>Tom Kennedy</t>
  </si>
  <si>
    <t>Bryant University</t>
  </si>
  <si>
    <t>Kalif Raymond</t>
  </si>
  <si>
    <t>Holy Cross</t>
  </si>
  <si>
    <t>Josh Reynolds</t>
  </si>
  <si>
    <t>Amon-Ra St. Brown</t>
  </si>
  <si>
    <t>Jameson Williams</t>
  </si>
  <si>
    <t>Derrick Deese Jr.</t>
  </si>
  <si>
    <t>San Jose State</t>
  </si>
  <si>
    <t>Sam LaPorta</t>
  </si>
  <si>
    <t>James Mitchell</t>
  </si>
  <si>
    <t>Brock Wright</t>
  </si>
  <si>
    <t>Shane Zylstra</t>
  </si>
  <si>
    <t>Minnesota State-Mankato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</si>
  <si>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</si>
  <si>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</si>
  <si>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</si>
  <si>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</si>
  <si>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</si>
  <si>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</si>
  <si>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</si>
  <si>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</si>
  <si>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</si>
  <si>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</si>
  <si>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</si>
  <si>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</si>
  <si>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</si>
  <si>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</si>
  <si>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</si>
  <si>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</si>
  <si>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</si>
  <si>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</si>
  <si>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Danny Etling</t>
  </si>
  <si>
    <t>Jordan Love</t>
  </si>
  <si>
    <t>AJ Dillon</t>
  </si>
  <si>
    <t>Tyler Goodson</t>
  </si>
  <si>
    <t>Aaron Jones</t>
  </si>
  <si>
    <t>UTEP</t>
  </si>
  <si>
    <t>Lew Nichols III</t>
  </si>
  <si>
    <t>Patrick Taylor</t>
  </si>
  <si>
    <t>Emanuel Wilson</t>
  </si>
  <si>
    <t>Jadakis Bonds</t>
  </si>
  <si>
    <t>Hampton</t>
  </si>
  <si>
    <t>Jeff Cotton</t>
  </si>
  <si>
    <t>Idaho</t>
  </si>
  <si>
    <t>Romeo Doubs</t>
  </si>
  <si>
    <t>Nevada</t>
  </si>
  <si>
    <t>Grant DuBose</t>
  </si>
  <si>
    <t>Charlotte</t>
  </si>
  <si>
    <t>Malik Heath</t>
  </si>
  <si>
    <t>Bo Melton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</si>
  <si>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</si>
  <si>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</si>
  <si>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</si>
  <si>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</si>
  <si>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</si>
  <si>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</si>
  <si>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</si>
  <si>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</si>
  <si>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</si>
  <si>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</si>
  <si>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</si>
  <si>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Camren McDonald</t>
  </si>
  <si>
    <t>Florida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</si>
  <si>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</si>
  <si>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</si>
  <si>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</si>
  <si>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</si>
  <si>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</si>
  <si>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</si>
  <si>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</si>
  <si>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</si>
  <si>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</si>
  <si>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</si>
  <si>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</si>
  <si>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</si>
  <si>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</si>
  <si>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</si>
  <si>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</si>
  <si>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</si>
  <si>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</si>
  <si>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</si>
  <si>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</si>
  <si>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</si>
  <si>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</si>
  <si>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</si>
  <si>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</si>
  <si>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</si>
  <si>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C.J. Stroud</t>
  </si>
  <si>
    <t>Mike Boone</t>
  </si>
  <si>
    <t>Gerrid Doaks</t>
  </si>
  <si>
    <t>Dare Ogunbowale</t>
  </si>
  <si>
    <t>Dameon Pierce</t>
  </si>
  <si>
    <t>Devin Singletary</t>
  </si>
  <si>
    <t>Xazavian Valladay</t>
  </si>
  <si>
    <t>Alex Bachman</t>
  </si>
  <si>
    <t>Noah Brown</t>
  </si>
  <si>
    <t>Jalen Camp</t>
  </si>
  <si>
    <t>Nico Collins</t>
  </si>
  <si>
    <t>Tank Dell</t>
  </si>
  <si>
    <t>Xavier Hutchinson</t>
  </si>
  <si>
    <t>Johnny Johnson III</t>
  </si>
  <si>
    <t>Jesse Matthews</t>
  </si>
  <si>
    <t>John Metchie III</t>
  </si>
  <si>
    <t>Amari Rodgers</t>
  </si>
  <si>
    <t>Steven Sims</t>
  </si>
  <si>
    <t>Jared Wayne</t>
  </si>
  <si>
    <t>Robert Woods</t>
  </si>
  <si>
    <t>Brevin Jordan</t>
  </si>
  <si>
    <t>Jordan Murray</t>
  </si>
  <si>
    <t>Hawai'i'</t>
  </si>
  <si>
    <t>Teagan Quitoriano</t>
  </si>
  <si>
    <t>Mason Schreck</t>
  </si>
  <si>
    <t>Buffalo</t>
  </si>
  <si>
    <t>Dalton Schultz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</si>
  <si>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</si>
  <si>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</si>
  <si>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</si>
  <si>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</si>
  <si>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</si>
  <si>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</si>
  <si>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</si>
  <si>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</si>
  <si>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</si>
  <si>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</si>
  <si>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</si>
  <si>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</si>
  <si>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</si>
  <si>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</si>
  <si>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</si>
  <si>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</si>
  <si>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</si>
  <si>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</si>
  <si>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</si>
  <si>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</si>
  <si>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Jake Funk</t>
  </si>
  <si>
    <t>Evan Hull</t>
  </si>
  <si>
    <t>Deon Jackson</t>
  </si>
  <si>
    <t>Duke</t>
  </si>
  <si>
    <t>Zack Moss</t>
  </si>
  <si>
    <t>Jonathan Taylor</t>
  </si>
  <si>
    <t>Kody Case</t>
  </si>
  <si>
    <t>Josh Downs</t>
  </si>
  <si>
    <t>Ashton Dulin</t>
  </si>
  <si>
    <t>Malone University</t>
  </si>
  <si>
    <t>Ethan Fernea</t>
  </si>
  <si>
    <t>Johnny King</t>
  </si>
  <si>
    <t>Southeast Missouri State</t>
  </si>
  <si>
    <t>Isaiah McKenzie</t>
  </si>
  <si>
    <t>Breshad Perriman</t>
  </si>
  <si>
    <t>Alec Pierce</t>
  </si>
  <si>
    <t>Michael Pittman Jr.</t>
  </si>
  <si>
    <t>Zavier Scott</t>
  </si>
  <si>
    <t>Maine</t>
  </si>
  <si>
    <t>Vyncint Smith</t>
  </si>
  <si>
    <t>Limestone</t>
  </si>
  <si>
    <t>Mike Strachan</t>
  </si>
  <si>
    <t>Charleston Univ</t>
  </si>
  <si>
    <t>Malik Turner</t>
  </si>
  <si>
    <t>Juwann Winfree</t>
  </si>
  <si>
    <t>Mo Alie-Cox</t>
  </si>
  <si>
    <t>VCU</t>
  </si>
  <si>
    <t>Pharaoh Brown</t>
  </si>
  <si>
    <t>Kylen Granson</t>
  </si>
  <si>
    <t>Will Mallory</t>
  </si>
  <si>
    <t>Andrew Ogletree</t>
  </si>
  <si>
    <t>Kaden Smith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</si>
  <si>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</si>
  <si>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</si>
  <si>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</si>
  <si>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</si>
  <si>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</si>
  <si>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</si>
  <si>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</si>
  <si>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</si>
  <si>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</si>
  <si>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</si>
  <si>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</si>
  <si>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</si>
  <si>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</si>
  <si>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</si>
  <si>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</si>
  <si>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</si>
  <si>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</si>
  <si>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</si>
  <si>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</si>
  <si>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</si>
  <si>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</si>
  <si>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</si>
  <si>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</si>
  <si>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</si>
  <si>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</si>
  <si>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</si>
  <si>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South Florida</t>
  </si>
  <si>
    <t>Qadree Ollison</t>
  </si>
  <si>
    <t>Jamal Agnew</t>
  </si>
  <si>
    <t>Kevin Austin Jr.</t>
  </si>
  <si>
    <t>Elijah Cooks</t>
  </si>
  <si>
    <t>Jacob Harris</t>
  </si>
  <si>
    <t>Jaray Jenkins</t>
  </si>
  <si>
    <t>Tim Jones</t>
  </si>
  <si>
    <t>Zay Jones</t>
  </si>
  <si>
    <t>Christian Kirk</t>
  </si>
  <si>
    <t>Oliver Martin</t>
  </si>
  <si>
    <t>Jaylon Moore</t>
  </si>
  <si>
    <t>UT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</si>
  <si>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</si>
  <si>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</si>
  <si>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</si>
  <si>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</si>
  <si>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</si>
  <si>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</si>
  <si>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</si>
  <si>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</si>
  <si>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</si>
  <si>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</si>
  <si>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(LA)</t>
  </si>
  <si>
    <t>Brenton Strange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</si>
  <si>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</si>
  <si>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</si>
  <si>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</si>
  <si>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</si>
  <si>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</si>
  <si>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</si>
  <si>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</si>
  <si>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</si>
  <si>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</si>
  <si>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</si>
  <si>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</si>
  <si>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</si>
  <si>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</si>
  <si>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</si>
  <si>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</si>
  <si>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</si>
  <si>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</si>
  <si>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</si>
  <si>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</si>
  <si>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</si>
  <si>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</si>
  <si>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</si>
  <si>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</si>
  <si>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</si>
  <si>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</si>
  <si>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</si>
  <si>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</si>
  <si>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</si>
  <si>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</si>
  <si>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</si>
  <si>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</si>
  <si>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</si>
  <si>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</si>
  <si>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</si>
  <si>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</si>
  <si>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</si>
  <si>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</si>
  <si>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John Ross</t>
  </si>
  <si>
    <t>Justyn Ross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</si>
  <si>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</si>
  <si>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</si>
  <si>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</si>
  <si>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</si>
  <si>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</si>
  <si>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</si>
  <si>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</si>
  <si>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</si>
  <si>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</si>
  <si>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</si>
  <si>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</si>
  <si>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</si>
  <si>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</si>
  <si>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</si>
  <si>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</si>
  <si>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</si>
  <si>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</si>
  <si>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</si>
  <si>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</si>
  <si>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</si>
  <si>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</si>
  <si>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</si>
  <si>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</si>
  <si>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</si>
  <si>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</si>
  <si>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</si>
  <si>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</si>
  <si>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</si>
  <si>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</si>
  <si>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</si>
  <si>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</si>
  <si>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</si>
  <si>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</si>
  <si>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</si>
  <si>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</si>
  <si>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</si>
  <si>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</si>
  <si>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</si>
  <si>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</si>
  <si>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</si>
  <si>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</si>
  <si>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Larry Rountree III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</si>
  <si>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</si>
  <si>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</si>
  <si>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</si>
  <si>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</si>
  <si>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</si>
  <si>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</si>
  <si>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</si>
  <si>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</si>
  <si>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</si>
  <si>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</si>
  <si>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</si>
  <si>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</si>
  <si>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</si>
  <si>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</si>
  <si>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</si>
  <si>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</si>
  <si>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</si>
  <si>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</si>
  <si>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</si>
  <si>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</si>
  <si>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</si>
  <si>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</si>
  <si>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</si>
  <si>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</si>
  <si>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</si>
  <si>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</si>
  <si>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</si>
  <si>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</si>
  <si>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</si>
  <si>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</si>
  <si>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</si>
  <si>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</si>
  <si>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</si>
  <si>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</si>
  <si>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</si>
  <si>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</si>
  <si>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</si>
  <si>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</si>
  <si>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</si>
  <si>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</si>
  <si>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</si>
  <si>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</si>
  <si>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</si>
  <si>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</si>
  <si>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</si>
  <si>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</si>
  <si>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</si>
  <si>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</si>
  <si>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</si>
  <si>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</si>
  <si>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</si>
  <si>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</si>
  <si>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</si>
  <si>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</si>
  <si>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</si>
  <si>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</si>
  <si>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</si>
  <si>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</si>
  <si>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</si>
  <si>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</si>
  <si>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</si>
  <si>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</si>
  <si>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</si>
  <si>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</si>
  <si>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</si>
  <si>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</si>
  <si>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</si>
  <si>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Austin Walter</t>
  </si>
  <si>
    <t>Rice</t>
  </si>
  <si>
    <t>Zamir White</t>
  </si>
  <si>
    <t>Davante Adams</t>
  </si>
  <si>
    <t>DeAndre Carter</t>
  </si>
  <si>
    <t>Sacramento State</t>
  </si>
  <si>
    <t>Keelan Cole</t>
  </si>
  <si>
    <t>Kentucky Wesleyan</t>
  </si>
  <si>
    <t>Phillip Dorsett</t>
  </si>
  <si>
    <t>Chris Lacy</t>
  </si>
  <si>
    <t>Jakobi Meyers</t>
  </si>
  <si>
    <t>Hunter Renfrow</t>
  </si>
  <si>
    <t>Cam Sims</t>
  </si>
  <si>
    <t>Tre Tucker</t>
  </si>
  <si>
    <t>DJ Turner</t>
  </si>
  <si>
    <t>Kristian Wilkerson</t>
  </si>
  <si>
    <t>Cole Fotheringham</t>
  </si>
  <si>
    <t>Austin Hooper</t>
  </si>
  <si>
    <t>Jesper Horsted</t>
  </si>
  <si>
    <t>O.J. Howard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</si>
  <si>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</si>
  <si>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</si>
  <si>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</si>
  <si>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</si>
  <si>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</si>
  <si>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</si>
  <si>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</si>
  <si>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</si>
  <si>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</si>
  <si>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</si>
  <si>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</si>
  <si>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</si>
  <si>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</si>
  <si>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</si>
  <si>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</si>
  <si>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</si>
  <si>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</si>
  <si>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</si>
  <si>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</si>
  <si>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</si>
  <si>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</si>
  <si>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James Blackman</t>
  </si>
  <si>
    <t>Arkansas State</t>
  </si>
  <si>
    <t>Tua Tagovailoa</t>
  </si>
  <si>
    <t>Skylar Thompson</t>
  </si>
  <si>
    <t>Mike White</t>
  </si>
  <si>
    <t>Western Kentucky</t>
  </si>
  <si>
    <t>Devon Achane</t>
  </si>
  <si>
    <t>Salvon Ahmed</t>
  </si>
  <si>
    <t>Christopher Brooks</t>
  </si>
  <si>
    <t>Myles Gaskin</t>
  </si>
  <si>
    <t>Raheem Mostert</t>
  </si>
  <si>
    <t>Jeff Wilson Jr.</t>
  </si>
  <si>
    <t>Braxton Berrios</t>
  </si>
  <si>
    <t>Robbie Chosen</t>
  </si>
  <si>
    <t>Chris Coleman</t>
  </si>
  <si>
    <t>Cal Poly</t>
  </si>
  <si>
    <t>River Cracraft</t>
  </si>
  <si>
    <t>Daewood Davis</t>
  </si>
  <si>
    <t>Erik Ezukanma</t>
  </si>
  <si>
    <t>Elijah Higgins</t>
  </si>
  <si>
    <t>Tyreek Hill</t>
  </si>
  <si>
    <t>West Alabama</t>
  </si>
  <si>
    <t>Braylon Sanders</t>
  </si>
  <si>
    <t>Freddie Swain</t>
  </si>
  <si>
    <t>Jaylen Waddle</t>
  </si>
  <si>
    <t>Cedrick Wilson Jr.</t>
  </si>
  <si>
    <t>Tanner Conner</t>
  </si>
  <si>
    <t>Idaho State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</si>
  <si>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</si>
  <si>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</si>
  <si>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</si>
  <si>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</si>
  <si>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</si>
  <si>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</si>
  <si>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</si>
  <si>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</si>
  <si>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</si>
  <si>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</si>
  <si>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</si>
  <si>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</si>
  <si>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</si>
  <si>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</si>
  <si>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</si>
  <si>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</si>
  <si>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</si>
  <si>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</si>
  <si>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</si>
  <si>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</si>
  <si>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</si>
  <si>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</si>
  <si>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</si>
  <si>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</si>
  <si>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</si>
  <si>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</si>
  <si>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Alexander Mattison</t>
  </si>
  <si>
    <t>DeWayne McBride</t>
  </si>
  <si>
    <t>Kene Nwangwu</t>
  </si>
  <si>
    <t>Jordan Addison</t>
  </si>
  <si>
    <t>Lucky Jackson</t>
  </si>
  <si>
    <t>Trishton Jackson</t>
  </si>
  <si>
    <t>Syracuse</t>
  </si>
  <si>
    <t>Justin Jefferson</t>
  </si>
  <si>
    <t>Cephus Johnson III</t>
  </si>
  <si>
    <t>Malik Knowles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</si>
  <si>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</si>
  <si>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</si>
  <si>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</si>
  <si>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</si>
  <si>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</si>
  <si>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</si>
  <si>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</si>
  <si>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</si>
  <si>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</si>
  <si>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</si>
  <si>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</si>
  <si>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</si>
  <si>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</si>
  <si>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</si>
  <si>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</si>
  <si>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</si>
  <si>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</si>
  <si>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</si>
  <si>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</si>
  <si>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</si>
  <si>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</si>
  <si>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</si>
  <si>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</si>
  <si>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</si>
  <si>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</si>
  <si>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</si>
  <si>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</si>
  <si>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</si>
  <si>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</si>
  <si>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</si>
  <si>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</si>
  <si>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</si>
  <si>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Kevin Harris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</si>
  <si>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</si>
  <si>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</si>
  <si>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</si>
  <si>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</si>
  <si>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</si>
  <si>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</si>
  <si>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</si>
  <si>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</si>
  <si>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Ed Lee</t>
  </si>
  <si>
    <t>Ty Montgomery</t>
  </si>
  <si>
    <t>Tre Nixon</t>
  </si>
  <si>
    <t>DeVante Parker</t>
  </si>
  <si>
    <t>Matthew Slater</t>
  </si>
  <si>
    <t>JuJu Smith-Schuster</t>
  </si>
  <si>
    <t>Tyquan Thornton</t>
  </si>
  <si>
    <t>Scotty Washington</t>
  </si>
  <si>
    <t>Raleigh Webb</t>
  </si>
  <si>
    <t>Citadel</t>
  </si>
  <si>
    <t>Anthony Firkser</t>
  </si>
  <si>
    <t>Harvard</t>
  </si>
  <si>
    <t>Mike Gesicki</t>
  </si>
  <si>
    <t>Hunter Henry</t>
  </si>
  <si>
    <t>Johnny Lumpkin</t>
  </si>
  <si>
    <t>Matt Sokol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</si>
  <si>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</si>
  <si>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</si>
  <si>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</si>
  <si>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</si>
  <si>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</si>
  <si>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</si>
  <si>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</si>
  <si>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</si>
  <si>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</si>
  <si>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</si>
  <si>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</si>
  <si>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</si>
  <si>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</si>
  <si>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</si>
  <si>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</si>
  <si>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</si>
  <si>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</si>
  <si>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</si>
  <si>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</si>
  <si>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</si>
  <si>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</si>
  <si>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</si>
  <si>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</si>
  <si>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</si>
  <si>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</si>
  <si>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</si>
  <si>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Jamaal Williams</t>
  </si>
  <si>
    <t>Kawaan Baker</t>
  </si>
  <si>
    <t>Lynn Bowden Jr.</t>
  </si>
  <si>
    <t>Keke Coutee</t>
  </si>
  <si>
    <t>Shaquan Davis</t>
  </si>
  <si>
    <t>South Carolina State</t>
  </si>
  <si>
    <t>Bryan Edwards</t>
  </si>
  <si>
    <t>Keith Kirkwood</t>
  </si>
  <si>
    <t>Kirk Merritt</t>
  </si>
  <si>
    <t>Chris Olave</t>
  </si>
  <si>
    <t>A.T. Perry</t>
  </si>
  <si>
    <t>Rashid Shaheed</t>
  </si>
  <si>
    <t>Weber State</t>
  </si>
  <si>
    <t>Tre'Quan Smith</t>
  </si>
  <si>
    <t>Michael Thomas</t>
  </si>
  <si>
    <t>James Washington</t>
  </si>
  <si>
    <t>Miller Forristall</t>
  </si>
  <si>
    <t>Taysom Hill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</si>
  <si>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</si>
  <si>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</si>
  <si>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</si>
  <si>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</si>
  <si>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</si>
  <si>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</si>
  <si>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</si>
  <si>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</si>
  <si>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</si>
  <si>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</si>
  <si>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</si>
  <si>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</si>
  <si>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</si>
  <si>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</si>
  <si>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</si>
  <si>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</si>
  <si>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</si>
  <si>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</si>
  <si>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</si>
  <si>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</si>
  <si>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</si>
  <si>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</si>
  <si>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</si>
  <si>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</si>
  <si>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</si>
  <si>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</si>
  <si>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</si>
  <si>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</si>
  <si>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</si>
  <si>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</si>
  <si>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</si>
  <si>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</si>
  <si>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</si>
  <si>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</si>
  <si>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</si>
  <si>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</si>
  <si>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</si>
  <si>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Makai Polk</t>
  </si>
  <si>
    <t>Wan'Dale Robinson</t>
  </si>
  <si>
    <t>Sterling Shepard</t>
  </si>
  <si>
    <t>David Sills V</t>
  </si>
  <si>
    <t>Darius Slayton</t>
  </si>
  <si>
    <t>Jeff Smith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</si>
  <si>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</si>
  <si>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</si>
  <si>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</si>
  <si>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</si>
  <si>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</si>
  <si>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</si>
  <si>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</si>
  <si>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</si>
  <si>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</si>
  <si>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</si>
  <si>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</si>
  <si>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</si>
  <si>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</si>
  <si>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</si>
  <si>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</si>
  <si>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</si>
  <si>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</si>
  <si>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</si>
  <si>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</si>
  <si>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</si>
  <si>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</si>
  <si>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</si>
  <si>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</si>
  <si>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</si>
  <si>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Chris Streveler</t>
  </si>
  <si>
    <t>South Dakota</t>
  </si>
  <si>
    <t>Zach Wilson</t>
  </si>
  <si>
    <t>Israel Abanikanda</t>
  </si>
  <si>
    <t>Michael Carter</t>
  </si>
  <si>
    <t>Travis Dye</t>
  </si>
  <si>
    <t>Breece Hall</t>
  </si>
  <si>
    <t>Zonovan Knight</t>
  </si>
  <si>
    <t>Jason Brownlee</t>
  </si>
  <si>
    <t>Irvin Charles</t>
  </si>
  <si>
    <t>Indiana (PA)</t>
  </si>
  <si>
    <t>Randall Cobb</t>
  </si>
  <si>
    <t>Corey Davis</t>
  </si>
  <si>
    <t>Izaiah Gathings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</si>
  <si>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</si>
  <si>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</si>
  <si>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</si>
  <si>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</si>
  <si>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</si>
  <si>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</si>
  <si>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</si>
  <si>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Denzel Mims</t>
  </si>
  <si>
    <t>Diontae Spencer</t>
  </si>
  <si>
    <t>McNeese State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</si>
  <si>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</si>
  <si>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</si>
  <si>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</si>
  <si>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</si>
  <si>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</si>
  <si>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</si>
  <si>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</si>
  <si>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</si>
  <si>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</si>
  <si>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</si>
  <si>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</si>
  <si>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</si>
  <si>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</si>
  <si>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</si>
  <si>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</si>
  <si>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</si>
  <si>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</si>
  <si>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</si>
  <si>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</si>
  <si>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</si>
  <si>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</si>
  <si>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</si>
  <si>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</si>
  <si>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</si>
  <si>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</si>
  <si>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</si>
  <si>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</si>
  <si>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</si>
  <si>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</si>
  <si>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</si>
  <si>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</si>
  <si>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</si>
  <si>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</si>
  <si>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</si>
  <si>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</si>
  <si>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Tyrie Cleveland</t>
  </si>
  <si>
    <t>Britain Covey</t>
  </si>
  <si>
    <t>Jadon Haselwood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</si>
  <si>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</si>
  <si>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</si>
  <si>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</si>
  <si>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</si>
  <si>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</si>
  <si>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</si>
  <si>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</si>
  <si>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Wisconsin-Platteville</t>
  </si>
  <si>
    <t>Grant Calcaterra</t>
  </si>
  <si>
    <t>Dallas Goedert</t>
  </si>
  <si>
    <t>Tyree Jackson</t>
  </si>
  <si>
    <t>Dalton Keene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</si>
  <si>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</si>
  <si>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</si>
  <si>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</si>
  <si>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</si>
  <si>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</si>
  <si>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</si>
  <si>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</si>
  <si>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</si>
  <si>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</si>
  <si>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</si>
  <si>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</si>
  <si>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</si>
  <si>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</si>
  <si>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</si>
  <si>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</si>
  <si>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</si>
  <si>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</si>
  <si>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</si>
  <si>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</si>
  <si>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</si>
  <si>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</si>
  <si>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</si>
  <si>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Alfonzo Graham</t>
  </si>
  <si>
    <t>Morgan State</t>
  </si>
  <si>
    <t>Darius Hagans</t>
  </si>
  <si>
    <t>Virginia State</t>
  </si>
  <si>
    <t>Najee Harris</t>
  </si>
  <si>
    <t>Jason Huntley</t>
  </si>
  <si>
    <t>New Mexico State</t>
  </si>
  <si>
    <t>Anthony McFarland Jr.</t>
  </si>
  <si>
    <t>Monte Pottebaum</t>
  </si>
  <si>
    <t>Jaylen Warren</t>
  </si>
  <si>
    <t>Calvin Austin III</t>
  </si>
  <si>
    <t>Miles Boykin</t>
  </si>
  <si>
    <t>Ja'Marcus Bradley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</si>
  <si>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</si>
  <si>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</si>
  <si>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</si>
  <si>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</si>
  <si>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</si>
  <si>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</si>
  <si>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</si>
  <si>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</si>
  <si>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</si>
  <si>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</si>
  <si>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</si>
  <si>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</si>
  <si>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</si>
  <si>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</si>
  <si>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</si>
  <si>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</si>
  <si>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</si>
  <si>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</si>
  <si>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</si>
  <si>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</si>
  <si>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</si>
  <si>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</si>
  <si>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</si>
  <si>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</si>
  <si>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</si>
  <si>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</si>
  <si>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</si>
  <si>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</si>
  <si>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</si>
  <si>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</si>
  <si>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</si>
  <si>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</si>
  <si>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</si>
  <si>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</si>
  <si>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</si>
  <si>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</si>
  <si>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</si>
  <si>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</si>
  <si>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</si>
  <si>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</si>
  <si>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</si>
  <si>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</si>
  <si>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</si>
  <si>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</si>
  <si>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</si>
  <si>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</si>
  <si>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</si>
  <si>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</si>
  <si>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</si>
  <si>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</si>
  <si>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</si>
  <si>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</si>
  <si>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</si>
  <si>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</si>
  <si>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</si>
  <si>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</si>
  <si>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</si>
  <si>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</si>
  <si>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Noah Gindorff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</si>
  <si>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</si>
  <si>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</si>
  <si>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</si>
  <si>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</si>
  <si>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</si>
  <si>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</si>
  <si>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</si>
  <si>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</si>
  <si>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</si>
  <si>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</si>
  <si>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</si>
  <si>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</si>
  <si>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</si>
  <si>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</si>
  <si>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</si>
  <si>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</si>
  <si>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</si>
  <si>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</si>
  <si>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</si>
  <si>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</si>
  <si>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</si>
  <si>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</si>
  <si>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</si>
  <si>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</si>
  <si>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</si>
  <si>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Ronald Awatt</t>
  </si>
  <si>
    <t>Tyrion Davis-Price</t>
  </si>
  <si>
    <t>Khalan Laborn</t>
  </si>
  <si>
    <t>Marshall</t>
  </si>
  <si>
    <t>Jordan Mason</t>
  </si>
  <si>
    <t>Christian McCaffrey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</si>
  <si>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</si>
  <si>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</si>
  <si>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</si>
  <si>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</si>
  <si>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</si>
  <si>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</si>
  <si>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</si>
  <si>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</si>
  <si>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</si>
  <si>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</si>
  <si>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</si>
  <si>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</si>
  <si>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</si>
  <si>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</si>
  <si>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</si>
  <si>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</si>
  <si>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</si>
  <si>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</si>
  <si>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</si>
  <si>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</si>
  <si>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</si>
  <si>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</si>
  <si>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</si>
  <si>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</si>
  <si>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</si>
  <si>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</si>
  <si>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</si>
  <si>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</si>
  <si>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</si>
  <si>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</si>
  <si>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</si>
  <si>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</si>
  <si>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</si>
  <si>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</si>
  <si>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</si>
  <si>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</si>
  <si>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</si>
  <si>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</si>
  <si>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</si>
  <si>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</si>
  <si>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</si>
  <si>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</si>
  <si>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</si>
  <si>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</si>
  <si>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</si>
  <si>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</si>
  <si>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</si>
  <si>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</si>
  <si>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</si>
  <si>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</si>
  <si>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</si>
  <si>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</si>
  <si>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</si>
  <si>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</si>
  <si>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</si>
  <si>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</si>
  <si>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</si>
  <si>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</si>
  <si>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</si>
  <si>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</si>
  <si>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</si>
  <si>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</si>
  <si>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</si>
  <si>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</si>
  <si>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</si>
  <si>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Illinois State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</si>
  <si>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</si>
  <si>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</si>
  <si>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</si>
  <si>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</si>
  <si>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</si>
  <si>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</si>
  <si>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</si>
  <si>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</si>
  <si>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</si>
  <si>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</si>
  <si>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</si>
  <si>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</si>
  <si>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</si>
  <si>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</si>
  <si>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</si>
  <si>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</si>
  <si>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</si>
  <si>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</si>
  <si>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</si>
  <si>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</si>
  <si>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</si>
  <si>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</si>
  <si>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</si>
  <si>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</si>
  <si>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</si>
  <si>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</si>
  <si>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</si>
  <si>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</si>
  <si>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</si>
  <si>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Chuck McClelland</t>
  </si>
  <si>
    <t>Tyjae Spears</t>
  </si>
  <si>
    <t>Jonathan Ward</t>
  </si>
  <si>
    <t>Treylon Burks</t>
  </si>
  <si>
    <t>Jacob Copeland</t>
  </si>
  <si>
    <t>Colton Dowell</t>
  </si>
  <si>
    <t>Tre'Shaun Harrison</t>
  </si>
  <si>
    <t>Gavin Holmes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</si>
  <si>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</si>
  <si>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</si>
  <si>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</si>
  <si>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</si>
  <si>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</si>
  <si>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</si>
  <si>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</si>
  <si>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</si>
  <si>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</si>
  <si>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</si>
  <si>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</si>
  <si>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</si>
  <si>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</si>
  <si>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</si>
  <si>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</si>
  <si>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</si>
  <si>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</si>
  <si>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</si>
  <si>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</si>
  <si>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</si>
  <si>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</si>
  <si>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</si>
  <si>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</si>
  <si>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</si>
  <si>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</si>
  <si>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</si>
  <si>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</si>
  <si>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</si>
  <si>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</si>
  <si>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</si>
  <si>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</si>
  <si>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</si>
  <si>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</si>
  <si>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</si>
  <si>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"=$P36/SUM([tgt])"</t>
  </si>
  <si>
    <t>"=$M36/SUM(Table6[car])"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</si>
</sst>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6" xfId="0" applyFont="1" applyBorder="1"/>
    <xf numFmtId="0" fontId="2" fillId="0" borderId="5" xfId="0" applyFont="1" applyBorder="1"/>
    <xf numFmtId="0" fontId="1" fillId="2" borderId="0" xfId="0" applyFont="1" applyFill="1" applyBorder="1"/>
  </cellXfs>
  <cellStyles count="1">
    <cellStyle name="Normal" xfId="0" builtinId="0"/>
  </cellStyles>
  <dxfs count="3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8D7BE1F8-21D1-054D-B473-B6E241C1CB99}" name="ConsolidatedTable" displayName="ConsolidatedTable" ref="A1:AB787" totalsRowShown="0" headerRowDxfId="0" dataDxfId="1" tableBorderDxfId="30">
  <autoFilter ref="A1:AB787" xr:uid="{8D7BE1F8-21D1-054D-B473-B6E241C1CB99}"/>
  <sortState xmlns:xlrd2="http://schemas.microsoft.com/office/spreadsheetml/2017/richdata2" ref="A2:AB787">
    <sortCondition descending="1" ref="G1:G787"/>
  </sortState>
  <tableColumns count="28">
    <tableColumn id="1" xr3:uid="{9E3242FF-1EC1-5441-922B-335019A3BBA4}" name="Name" dataDxfId="29"/>
    <tableColumn id="2" xr3:uid="{A167BAFA-8D94-8C44-AEA4-74EA6476D3D9}" name="POS" dataDxfId="28"/>
    <tableColumn id="3" xr3:uid="{81C40ED5-4ED6-3D46-A87F-F04A8F62BAB2}" name="Age" dataDxfId="27"/>
    <tableColumn id="4" xr3:uid="{D7CAA97A-94A5-5142-AF41-A3A2B44FA2D2}" name="Exp" dataDxfId="26"/>
    <tableColumn id="5" xr3:uid="{E7AD0AE2-9343-4148-BC4C-3E16ED4052E2}" name="College" dataDxfId="25"/>
    <tableColumn id="6" xr3:uid="{B931C913-B575-7C4D-AF61-71015827C76D}" name="team" dataDxfId="24"/>
    <tableColumn id="7" xr3:uid="{438A9FBC-42D1-6140-B94D-875673B44BAF}" name="g" dataDxfId="23"/>
    <tableColumn id="8" xr3:uid="{880EA5D8-D1D7-0840-A2E7-7777630C89FD}" name="p_att" dataDxfId="22"/>
    <tableColumn id="9" xr3:uid="{1611152F-5A6D-0547-A572-E3D608AAE9F0}" name="cmp" dataDxfId="21"/>
    <tableColumn id="10" xr3:uid="{E7A26458-738F-A249-B2CA-EA22206AA2DF}" name="p_yd" dataDxfId="20"/>
    <tableColumn id="11" xr3:uid="{7B048F1C-E824-9741-BE81-B1E4AC9F7156}" name="p_td" dataDxfId="19"/>
    <tableColumn id="12" xr3:uid="{C525FBCF-43BD-084E-B8F8-066A38C32CE7}" name="int" dataDxfId="18"/>
    <tableColumn id="13" xr3:uid="{5364F777-E0BA-FC4C-8B80-F5C167A82EDA}" name="car" dataDxfId="17"/>
    <tableColumn id="14" xr3:uid="{56759272-21A9-A044-8258-04D3995B7C95}" name="r_yd" dataDxfId="16"/>
    <tableColumn id="15" xr3:uid="{E3386787-60F6-DA44-AB45-F12E3DD79E85}" name="r_td" dataDxfId="15"/>
    <tableColumn id="16" xr3:uid="{47FBE96A-054E-B142-A246-A7150F03F415}" name="tgt" dataDxfId="14"/>
    <tableColumn id="17" xr3:uid="{1C0CC888-665D-1D43-B99C-8384F553BD0C}" name="rec" dataDxfId="13"/>
    <tableColumn id="18" xr3:uid="{E282279C-7881-AC4F-9D21-02D50EAE9C37}" name="rec_yd" dataDxfId="12"/>
    <tableColumn id="19" xr3:uid="{B0BB4D19-E14D-F545-9975-A752F4A0B399}" name="rec_td" dataDxfId="11"/>
    <tableColumn id="20" xr3:uid="{0492B650-5FA7-D342-8A8F-631289F5CBC4}" name="fmb" dataDxfId="10"/>
    <tableColumn id="21" xr3:uid="{6888759B-8BC3-FE4F-83FD-24461DEF26FD}" name="tp_c" dataDxfId="9"/>
    <tableColumn id="22" xr3:uid="{55347603-85B3-4B4E-AD20-136BE24B055A}" name="f_ppr" dataDxfId="8"/>
    <tableColumn id="23" xr3:uid="{9E4131AE-38F1-3B47-9F78-31A3C5483070}" name="tgt_share" dataDxfId="7"/>
    <tableColumn id="24" xr3:uid="{C597690C-337B-CA43-8A16-88FC6D8F6D88}" name="ypc" dataDxfId="6"/>
    <tableColumn id="25" xr3:uid="{20C401B9-15E9-2E43-A2FC-DBBC94215215}" name="ypr" dataDxfId="5"/>
    <tableColumn id="26" xr3:uid="{C538111A-0130-8347-B4FE-70A93BC9BA95}" name="cmp_pct" dataDxfId="4"/>
    <tableColumn id="27" xr3:uid="{1B71BC0F-AC3B-B74A-B268-A23F2CC4F2D3}" name="td_rate" dataDxfId="3"/>
    <tableColumn id="28" xr3:uid="{6F69B6B5-47EC-994E-8FF8-1D623B85F5D6}" name="f_custom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Y24" totalsRowShown="0">
  <autoFilter ref="A1:Y24" xr:uid="{00000000-0009-0000-0100-000003000000}"/>
  <tableColumns count="25">
    <tableColumn id="1" xr3:uid="{00000000-0010-0000-0000-000001000000}" name="player_name"/>
    <tableColumn id="2" xr3:uid="{00000000-0010-0000-0000-000002000000}" name="recent_team"/>
    <tableColumn id="3" xr3:uid="{00000000-0010-0000-0000-000003000000}" name="pos"/>
    <tableColumn id="4" xr3:uid="{00000000-0010-0000-0000-000004000000}" name="g"/>
    <tableColumn id="5" xr3:uid="{00000000-0010-0000-0000-000005000000}" name="p_att"/>
    <tableColumn id="6" xr3:uid="{00000000-0010-0000-0000-000006000000}" name="cmp"/>
    <tableColumn id="7" xr3:uid="{00000000-0010-0000-0000-000007000000}" name="p_yd"/>
    <tableColumn id="8" xr3:uid="{00000000-0010-0000-0000-000008000000}" name="p_td"/>
    <tableColumn id="9" xr3:uid="{00000000-0010-0000-0000-000009000000}" name="int"/>
    <tableColumn id="10" xr3:uid="{00000000-0010-0000-0000-00000A000000}" name="car"/>
    <tableColumn id="11" xr3:uid="{00000000-0010-0000-0000-00000B000000}" name="r_yd"/>
    <tableColumn id="12" xr3:uid="{00000000-0010-0000-0000-00000C000000}" name="r_td"/>
    <tableColumn id="13" xr3:uid="{00000000-0010-0000-0000-00000D000000}" name="tgt"/>
    <tableColumn id="14" xr3:uid="{00000000-0010-0000-0000-00000E000000}" name="rec"/>
    <tableColumn id="15" xr3:uid="{00000000-0010-0000-0000-00000F000000}" name="rec_yd"/>
    <tableColumn id="16" xr3:uid="{00000000-0010-0000-0000-000010000000}" name="rec_td"/>
    <tableColumn id="17" xr3:uid="{00000000-0010-0000-0000-000011000000}" name="fmb"/>
    <tableColumn id="18" xr3:uid="{00000000-0010-0000-0000-000012000000}" name="tp_c"/>
    <tableColumn id="19" xr3:uid="{00000000-0010-0000-0000-000013000000}" name="f_ppr"/>
    <tableColumn id="20" xr3:uid="{00000000-0010-0000-0000-000014000000}" name="tgt_share"/>
    <tableColumn id="21" xr3:uid="{00000000-0010-0000-0000-000015000000}" name="ypc"/>
    <tableColumn id="22" xr3:uid="{00000000-0010-0000-0000-000016000000}" name="ypr"/>
    <tableColumn id="23" xr3:uid="{00000000-0010-0000-0000-000017000000}" name="cmp_pct"/>
    <tableColumn id="24" xr3:uid="{00000000-0010-0000-0000-000018000000}" name="td_rate"/>
    <tableColumn id="25" xr3:uid="{00000000-0010-0000-0000-000019000000}" name="f_custom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30:L31" totalsRowShown="0">
  <autoFilter ref="A30:L31" xr:uid="{00000000-0009-0000-0100-000004000000}"/>
  <tableColumns count="12">
    <tableColumn id="1" xr3:uid="{00000000-0010-0000-0100-000001000000}" name="team"/>
    <tableColumn id="2" xr3:uid="{00000000-0010-0000-0100-000002000000}" name="off_yd"/>
    <tableColumn id="3" xr3:uid="{00000000-0010-0000-0100-000003000000}" name="p_yd"/>
    <tableColumn id="4" xr3:uid="{00000000-0010-0000-0100-000004000000}" name="car"/>
    <tableColumn id="5" xr3:uid="{00000000-0010-0000-0100-000005000000}" name="r_yd"/>
    <tableColumn id="6" xr3:uid="{00000000-0010-0000-0100-000006000000}" name="r_td"/>
    <tableColumn id="7" xr3:uid="{00000000-0010-0000-0100-000007000000}" name="p_ff"/>
    <tableColumn id="8" xr3:uid="{00000000-0010-0000-0100-000008000000}" name="p_att"/>
    <tableColumn id="9" xr3:uid="{00000000-0010-0000-0100-000009000000}" name="cmp_pct"/>
    <tableColumn id="10" xr3:uid="{00000000-0010-0000-0100-00000A000000}" name="p_td"/>
    <tableColumn id="11" xr3:uid="{00000000-0010-0000-0100-00000B000000}" name="int"/>
    <tableColumn id="12" xr3:uid="{00000000-0010-0000-0100-00000C000000}" name="fmb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A32:L33" totalsRowShown="0">
  <autoFilter ref="A32:L33" xr:uid="{00000000-0009-0000-0100-000005000000}"/>
  <tableColumns count="12">
    <tableColumn id="1" xr3:uid="{00000000-0010-0000-0200-000001000000}" name="team"/>
    <tableColumn id="2" xr3:uid="{00000000-0010-0000-0200-000002000000}" name="off_yd"/>
    <tableColumn id="3" xr3:uid="{00000000-0010-0000-0200-000003000000}" name="p_yd">
      <calculatedColumnFormula>SUM(Table6[p_att])</calculatedColumnFormula>
    </tableColumn>
    <tableColumn id="4" xr3:uid="{00000000-0010-0000-0200-000004000000}" name="car">
      <calculatedColumnFormula>SUM(Table6[car])</calculatedColumnFormula>
    </tableColumn>
    <tableColumn id="5" xr3:uid="{00000000-0010-0000-0200-000005000000}" name="r_yd">
      <calculatedColumnFormula>SUM(Table6[r_yd])</calculatedColumnFormula>
    </tableColumn>
    <tableColumn id="6" xr3:uid="{00000000-0010-0000-0200-000006000000}" name="r_td">
      <calculatedColumnFormula>SUM(Table6[r_td])</calculatedColumnFormula>
    </tableColumn>
    <tableColumn id="7" xr3:uid="{00000000-0010-0000-0200-000007000000}" name="p_ff"/>
    <tableColumn id="8" xr3:uid="{00000000-0010-0000-0200-000008000000}" name="p_att">
      <calculatedColumnFormula>SUM(Table6[p_att])</calculatedColumnFormula>
    </tableColumn>
    <tableColumn id="9" xr3:uid="{00000000-0010-0000-0200-000009000000}" name="cmp_pct">
      <calculatedColumnFormula>SUM(Table6[cmp])/Table5[[#This Row],[p_att]]</calculatedColumnFormula>
    </tableColumn>
    <tableColumn id="10" xr3:uid="{00000000-0010-0000-0200-00000A000000}" name="p_td">
      <calculatedColumnFormula>SUM(Table6[p_td])</calculatedColumnFormula>
    </tableColumn>
    <tableColumn id="11" xr3:uid="{00000000-0010-0000-0200-00000B000000}" name="int">
      <calculatedColumnFormula>SUM(Table6[int])</calculatedColumnFormula>
    </tableColumn>
    <tableColumn id="12" xr3:uid="{00000000-0010-0000-0200-00000C000000}" name="fmb">
      <calculatedColumnFormula>SUM(Table6[fmb])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35:AB61" totalsRowShown="0">
  <autoFilter ref="A35:AB61" xr:uid="{00000000-0009-0000-0100-000006000000}"/>
  <tableColumns count="28">
    <tableColumn id="1" xr3:uid="{00000000-0010-0000-0300-000001000000}" name="Name"/>
    <tableColumn id="2" xr3:uid="{00000000-0010-0000-0300-000002000000}" name="POS"/>
    <tableColumn id="3" xr3:uid="{00000000-0010-0000-0300-000003000000}" name="Age"/>
    <tableColumn id="4" xr3:uid="{00000000-0010-0000-0300-000004000000}" name="Exp"/>
    <tableColumn id="5" xr3:uid="{00000000-0010-0000-0300-000005000000}" name="College"/>
    <tableColumn id="6" xr3:uid="{00000000-0010-0000-0300-000006000000}" name="team"/>
    <tableColumn id="7" xr3:uid="{00000000-0010-0000-0300-000007000000}" name="g"/>
    <tableColumn id="8" xr3:uid="{00000000-0010-0000-0300-000008000000}" name="p_att"/>
    <tableColumn id="9" xr3:uid="{00000000-0010-0000-0300-000009000000}" name="cmp"/>
    <tableColumn id="10" xr3:uid="{00000000-0010-0000-0300-00000A000000}" name="p_yd"/>
    <tableColumn id="11" xr3:uid="{00000000-0010-0000-0300-00000B000000}" name="p_td"/>
    <tableColumn id="12" xr3:uid="{00000000-0010-0000-0300-00000C000000}" name="int"/>
    <tableColumn id="13" xr3:uid="{00000000-0010-0000-0300-00000D000000}" name="car"/>
    <tableColumn id="14" xr3:uid="{00000000-0010-0000-0300-00000E000000}" name="r_yd"/>
    <tableColumn id="15" xr3:uid="{00000000-0010-0000-0300-00000F000000}" name="r_td"/>
    <tableColumn id="16" xr3:uid="{00000000-0010-0000-0300-000010000000}" name="tgt"/>
    <tableColumn id="17" xr3:uid="{00000000-0010-0000-0300-000011000000}" name="rec"/>
    <tableColumn id="18" xr3:uid="{00000000-0010-0000-0300-000012000000}" name="rec_yd"/>
    <tableColumn id="19" xr3:uid="{00000000-0010-0000-0300-000013000000}" name="rec_td"/>
    <tableColumn id="20" xr3:uid="{00000000-0010-0000-0300-000014000000}" name="fmb"/>
    <tableColumn id="21" xr3:uid="{00000000-0010-0000-0300-000015000000}" name="tp_c"/>
    <tableColumn id="22" xr3:uid="{00000000-0010-0000-0300-000016000000}" name="f_ppr"/>
    <tableColumn id="23" xr3:uid="{00000000-0010-0000-0300-000017000000}" name="tgt_share" dataDxfId="31">
      <calculatedColumnFormula>$P36/SUM(Table6[tgt])</calculatedColumnFormula>
    </tableColumn>
    <tableColumn id="24" xr3:uid="{00000000-0010-0000-0300-000018000000}" name="ypc"/>
    <tableColumn id="25" xr3:uid="{00000000-0010-0000-0300-000019000000}" name="ypr"/>
    <tableColumn id="26" xr3:uid="{00000000-0010-0000-0300-00001A000000}" name="cmp_pct"/>
    <tableColumn id="27" xr3:uid="{00000000-0010-0000-0300-00001B000000}" name="td_rate"/>
    <tableColumn id="28" xr3:uid="{00000000-0010-0000-0300-00001C000000}" name="f_custom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le7" displayName="Table7" ref="A1:Y21" totalsRowShown="0">
  <autoFilter ref="A1:Y21" xr:uid="{00000000-0009-0000-0100-000007000000}"/>
  <tableColumns count="25">
    <tableColumn id="1" xr3:uid="{00000000-0010-0000-0400-000001000000}" name="player_name"/>
    <tableColumn id="2" xr3:uid="{00000000-0010-0000-0400-000002000000}" name="recent_team"/>
    <tableColumn id="3" xr3:uid="{00000000-0010-0000-0400-000003000000}" name="pos"/>
    <tableColumn id="4" xr3:uid="{00000000-0010-0000-0400-000004000000}" name="g"/>
    <tableColumn id="5" xr3:uid="{00000000-0010-0000-0400-000005000000}" name="p_att"/>
    <tableColumn id="6" xr3:uid="{00000000-0010-0000-0400-000006000000}" name="cmp"/>
    <tableColumn id="7" xr3:uid="{00000000-0010-0000-0400-000007000000}" name="p_yd"/>
    <tableColumn id="8" xr3:uid="{00000000-0010-0000-0400-000008000000}" name="p_td"/>
    <tableColumn id="9" xr3:uid="{00000000-0010-0000-0400-000009000000}" name="int"/>
    <tableColumn id="10" xr3:uid="{00000000-0010-0000-0400-00000A000000}" name="car"/>
    <tableColumn id="11" xr3:uid="{00000000-0010-0000-0400-00000B000000}" name="r_yd"/>
    <tableColumn id="12" xr3:uid="{00000000-0010-0000-0400-00000C000000}" name="r_td"/>
    <tableColumn id="13" xr3:uid="{00000000-0010-0000-0400-00000D000000}" name="tgt"/>
    <tableColumn id="14" xr3:uid="{00000000-0010-0000-0400-00000E000000}" name="rec"/>
    <tableColumn id="15" xr3:uid="{00000000-0010-0000-0400-00000F000000}" name="rec_yd"/>
    <tableColumn id="16" xr3:uid="{00000000-0010-0000-0400-000010000000}" name="rec_td"/>
    <tableColumn id="17" xr3:uid="{00000000-0010-0000-0400-000011000000}" name="fmb"/>
    <tableColumn id="18" xr3:uid="{00000000-0010-0000-0400-000012000000}" name="tp_c"/>
    <tableColumn id="19" xr3:uid="{00000000-0010-0000-0400-000013000000}" name="f_ppr"/>
    <tableColumn id="20" xr3:uid="{00000000-0010-0000-0400-000014000000}" name="tgt_share"/>
    <tableColumn id="21" xr3:uid="{00000000-0010-0000-0400-000015000000}" name="ypc"/>
    <tableColumn id="22" xr3:uid="{00000000-0010-0000-0400-000016000000}" name="ypr"/>
    <tableColumn id="23" xr3:uid="{00000000-0010-0000-0400-000017000000}" name="cmp_pct"/>
    <tableColumn id="24" xr3:uid="{00000000-0010-0000-0400-000018000000}" name="td_rate"/>
    <tableColumn id="25" xr3:uid="{00000000-0010-0000-0400-000019000000}" name="f_custom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A30:L31" totalsRowShown="0">
  <autoFilter ref="A30:L31" xr:uid="{00000000-0009-0000-0100-000008000000}"/>
  <tableColumns count="12">
    <tableColumn id="1" xr3:uid="{00000000-0010-0000-0500-000001000000}" name="team"/>
    <tableColumn id="2" xr3:uid="{00000000-0010-0000-0500-000002000000}" name="off_yd"/>
    <tableColumn id="3" xr3:uid="{00000000-0010-0000-0500-000003000000}" name="p_yd"/>
    <tableColumn id="4" xr3:uid="{00000000-0010-0000-0500-000004000000}" name="car"/>
    <tableColumn id="5" xr3:uid="{00000000-0010-0000-0500-000005000000}" name="r_yd"/>
    <tableColumn id="6" xr3:uid="{00000000-0010-0000-0500-000006000000}" name="r_td"/>
    <tableColumn id="7" xr3:uid="{00000000-0010-0000-0500-000007000000}" name="p_ff"/>
    <tableColumn id="8" xr3:uid="{00000000-0010-0000-0500-000008000000}" name="p_att"/>
    <tableColumn id="9" xr3:uid="{00000000-0010-0000-0500-000009000000}" name="cmp_pct"/>
    <tableColumn id="10" xr3:uid="{00000000-0010-0000-0500-00000A000000}" name="p_td"/>
    <tableColumn id="11" xr3:uid="{00000000-0010-0000-0500-00000B000000}" name="int"/>
    <tableColumn id="12" xr3:uid="{00000000-0010-0000-0500-00000C000000}" name="fmb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e9" displayName="Table9" ref="A32:L33" totalsRowShown="0">
  <autoFilter ref="A32:L33" xr:uid="{00000000-0009-0000-0100-000009000000}"/>
  <tableColumns count="12">
    <tableColumn id="1" xr3:uid="{00000000-0010-0000-0600-000001000000}" name="team"/>
    <tableColumn id="2" xr3:uid="{00000000-0010-0000-0600-000002000000}" name="off_yd"/>
    <tableColumn id="3" xr3:uid="{00000000-0010-0000-0600-000003000000}" name="p_yd"/>
    <tableColumn id="4" xr3:uid="{00000000-0010-0000-0600-000004000000}" name="car"/>
    <tableColumn id="5" xr3:uid="{00000000-0010-0000-0600-000005000000}" name="r_yd"/>
    <tableColumn id="6" xr3:uid="{00000000-0010-0000-0600-000006000000}" name="r_td"/>
    <tableColumn id="7" xr3:uid="{00000000-0010-0000-0600-000007000000}" name="p_ff"/>
    <tableColumn id="8" xr3:uid="{00000000-0010-0000-0600-000008000000}" name="p_att"/>
    <tableColumn id="9" xr3:uid="{00000000-0010-0000-0600-000009000000}" name="cmp_pct"/>
    <tableColumn id="10" xr3:uid="{00000000-0010-0000-0600-00000A000000}" name="p_td"/>
    <tableColumn id="11" xr3:uid="{00000000-0010-0000-0600-00000B000000}" name="int"/>
    <tableColumn id="12" xr3:uid="{00000000-0010-0000-0600-00000C000000}" name="fmb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able10" displayName="Table10" ref="A35:AB63" totalsRowShown="0">
  <autoFilter ref="A35:AB63" xr:uid="{00000000-000C-0000-FFFF-FFFF07000000}"/>
  <tableColumns count="28">
    <tableColumn id="1" xr3:uid="{00000000-0010-0000-0700-000001000000}" name="Name"/>
    <tableColumn id="2" xr3:uid="{00000000-0010-0000-0700-000002000000}" name="POS"/>
    <tableColumn id="3" xr3:uid="{00000000-0010-0000-0700-000003000000}" name="Age"/>
    <tableColumn id="4" xr3:uid="{00000000-0010-0000-0700-000004000000}" name="Exp"/>
    <tableColumn id="5" xr3:uid="{00000000-0010-0000-0700-000005000000}" name="College"/>
    <tableColumn id="6" xr3:uid="{00000000-0010-0000-0700-000006000000}" name="team"/>
    <tableColumn id="7" xr3:uid="{00000000-0010-0000-0700-000007000000}" name="g"/>
    <tableColumn id="8" xr3:uid="{00000000-0010-0000-0700-000008000000}" name="p_att"/>
    <tableColumn id="9" xr3:uid="{00000000-0010-0000-0700-000009000000}" name="cmp"/>
    <tableColumn id="10" xr3:uid="{00000000-0010-0000-0700-00000A000000}" name="p_yd"/>
    <tableColumn id="11" xr3:uid="{00000000-0010-0000-0700-00000B000000}" name="p_td"/>
    <tableColumn id="12" xr3:uid="{00000000-0010-0000-0700-00000C000000}" name="int"/>
    <tableColumn id="13" xr3:uid="{00000000-0010-0000-0700-00000D000000}" name="car"/>
    <tableColumn id="14" xr3:uid="{00000000-0010-0000-0700-00000E000000}" name="r_yd"/>
    <tableColumn id="15" xr3:uid="{00000000-0010-0000-0700-00000F000000}" name="r_td"/>
    <tableColumn id="16" xr3:uid="{00000000-0010-0000-0700-000010000000}" name="tgt"/>
    <tableColumn id="17" xr3:uid="{00000000-0010-0000-0700-000011000000}" name="rec"/>
    <tableColumn id="18" xr3:uid="{00000000-0010-0000-0700-000012000000}" name="rec_yd"/>
    <tableColumn id="19" xr3:uid="{00000000-0010-0000-0700-000013000000}" name="rec_td"/>
    <tableColumn id="20" xr3:uid="{00000000-0010-0000-0700-000014000000}" name="fmb"/>
    <tableColumn id="21" xr3:uid="{00000000-0010-0000-0700-000015000000}" name="tp_c"/>
    <tableColumn id="22" xr3:uid="{00000000-0010-0000-0700-000016000000}" name="f_ppr"/>
    <tableColumn id="23" xr3:uid="{00000000-0010-0000-0700-000017000000}" name="tgt_share">
      <calculatedColumnFormula>$P36/SUM(Table6[tgt])</calculatedColumnFormula>
    </tableColumn>
    <tableColumn id="24" xr3:uid="{00000000-0010-0000-0700-000018000000}" name="ypc"/>
    <tableColumn id="25" xr3:uid="{00000000-0010-0000-0700-000019000000}" name="ypr"/>
    <tableColumn id="26" xr3:uid="{00000000-0010-0000-0700-00001A000000}" name="cmp_pct"/>
    <tableColumn id="27" xr3:uid="{00000000-0010-0000-0700-00001B000000}" name="td_rate"/>
    <tableColumn id="28" xr3:uid="{00000000-0010-0000-0700-00001C000000}" name="f_custom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le11" displayName="Table11" ref="A1:Y22" totalsRowShown="0">
  <autoFilter ref="A1:Y22" xr:uid="{00000000-0009-0000-0100-00000B000000}"/>
  <tableColumns count="25">
    <tableColumn id="1" xr3:uid="{00000000-0010-0000-0800-000001000000}" name="player_name"/>
    <tableColumn id="2" xr3:uid="{00000000-0010-0000-0800-000002000000}" name="recent_team"/>
    <tableColumn id="3" xr3:uid="{00000000-0010-0000-0800-000003000000}" name="pos"/>
    <tableColumn id="4" xr3:uid="{00000000-0010-0000-0800-000004000000}" name="g"/>
    <tableColumn id="5" xr3:uid="{00000000-0010-0000-0800-000005000000}" name="p_att"/>
    <tableColumn id="6" xr3:uid="{00000000-0010-0000-0800-000006000000}" name="cmp"/>
    <tableColumn id="7" xr3:uid="{00000000-0010-0000-0800-000007000000}" name="p_yd"/>
    <tableColumn id="8" xr3:uid="{00000000-0010-0000-0800-000008000000}" name="p_td"/>
    <tableColumn id="9" xr3:uid="{00000000-0010-0000-0800-000009000000}" name="int"/>
    <tableColumn id="10" xr3:uid="{00000000-0010-0000-0800-00000A000000}" name="car"/>
    <tableColumn id="11" xr3:uid="{00000000-0010-0000-0800-00000B000000}" name="r_yd"/>
    <tableColumn id="12" xr3:uid="{00000000-0010-0000-0800-00000C000000}" name="r_td"/>
    <tableColumn id="13" xr3:uid="{00000000-0010-0000-0800-00000D000000}" name="tgt"/>
    <tableColumn id="14" xr3:uid="{00000000-0010-0000-0800-00000E000000}" name="rec"/>
    <tableColumn id="15" xr3:uid="{00000000-0010-0000-0800-00000F000000}" name="rec_yd"/>
    <tableColumn id="16" xr3:uid="{00000000-0010-0000-0800-000010000000}" name="rec_td"/>
    <tableColumn id="17" xr3:uid="{00000000-0010-0000-0800-000011000000}" name="fmb"/>
    <tableColumn id="18" xr3:uid="{00000000-0010-0000-0800-000012000000}" name="tp_c"/>
    <tableColumn id="19" xr3:uid="{00000000-0010-0000-0800-000013000000}" name="f_ppr"/>
    <tableColumn id="20" xr3:uid="{00000000-0010-0000-0800-000014000000}" name="tgt_share"/>
    <tableColumn id="21" xr3:uid="{00000000-0010-0000-0800-000015000000}" name="ypc"/>
    <tableColumn id="22" xr3:uid="{00000000-0010-0000-0800-000016000000}" name="ypr"/>
    <tableColumn id="23" xr3:uid="{00000000-0010-0000-0800-000017000000}" name="cmp_pct"/>
    <tableColumn id="24" xr3:uid="{00000000-0010-0000-0800-000018000000}" name="td_rate"/>
    <tableColumn id="25" xr3:uid="{00000000-0010-0000-0800-000019000000}" name="f_custom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able12" displayName="Table12" ref="A30:L31" totalsRowShown="0">
  <autoFilter ref="A30:L31" xr:uid="{00000000-0009-0000-0100-00000C000000}"/>
  <tableColumns count="12">
    <tableColumn id="1" xr3:uid="{00000000-0010-0000-0900-000001000000}" name="team"/>
    <tableColumn id="2" xr3:uid="{00000000-0010-0000-0900-000002000000}" name="off_yd"/>
    <tableColumn id="3" xr3:uid="{00000000-0010-0000-0900-000003000000}" name="p_yd"/>
    <tableColumn id="4" xr3:uid="{00000000-0010-0000-0900-000004000000}" name="car"/>
    <tableColumn id="5" xr3:uid="{00000000-0010-0000-0900-000005000000}" name="r_yd"/>
    <tableColumn id="6" xr3:uid="{00000000-0010-0000-0900-000006000000}" name="r_td"/>
    <tableColumn id="7" xr3:uid="{00000000-0010-0000-0900-000007000000}" name="p_ff"/>
    <tableColumn id="8" xr3:uid="{00000000-0010-0000-0900-000008000000}" name="p_att"/>
    <tableColumn id="9" xr3:uid="{00000000-0010-0000-0900-000009000000}" name="cmp_pct"/>
    <tableColumn id="10" xr3:uid="{00000000-0010-0000-0900-00000A000000}" name="p_td"/>
    <tableColumn id="11" xr3:uid="{00000000-0010-0000-0900-00000B000000}" name="int"/>
    <tableColumn id="12" xr3:uid="{00000000-0010-0000-0900-00000C000000}" name="fmb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able13" displayName="Table13" ref="A32:L33" totalsRowShown="0">
  <autoFilter ref="A32:L33" xr:uid="{00000000-0009-0000-0100-00000D000000}"/>
  <tableColumns count="12">
    <tableColumn id="1" xr3:uid="{00000000-0010-0000-0A00-000001000000}" name="team"/>
    <tableColumn id="2" xr3:uid="{00000000-0010-0000-0A00-000002000000}" name="off_yd"/>
    <tableColumn id="3" xr3:uid="{00000000-0010-0000-0A00-000003000000}" name="p_yd"/>
    <tableColumn id="4" xr3:uid="{00000000-0010-0000-0A00-000004000000}" name="car"/>
    <tableColumn id="5" xr3:uid="{00000000-0010-0000-0A00-000005000000}" name="r_yd"/>
    <tableColumn id="6" xr3:uid="{00000000-0010-0000-0A00-000006000000}" name="r_td"/>
    <tableColumn id="7" xr3:uid="{00000000-0010-0000-0A00-000007000000}" name="p_ff"/>
    <tableColumn id="8" xr3:uid="{00000000-0010-0000-0A00-000008000000}" name="p_att"/>
    <tableColumn id="9" xr3:uid="{00000000-0010-0000-0A00-000009000000}" name="cmp_pct"/>
    <tableColumn id="10" xr3:uid="{00000000-0010-0000-0A00-00000A000000}" name="p_td"/>
    <tableColumn id="11" xr3:uid="{00000000-0010-0000-0A00-00000B000000}" name="int"/>
    <tableColumn id="12" xr3:uid="{00000000-0010-0000-0A00-00000C000000}" name="fmb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able14" displayName="Table14" ref="A35:AB62" totalsRowShown="0">
  <autoFilter ref="A35:AB62" xr:uid="{00000000-0009-0000-0100-00000E000000}"/>
  <tableColumns count="28">
    <tableColumn id="1" xr3:uid="{00000000-0010-0000-0B00-000001000000}" name="Name"/>
    <tableColumn id="2" xr3:uid="{00000000-0010-0000-0B00-000002000000}" name="POS"/>
    <tableColumn id="3" xr3:uid="{00000000-0010-0000-0B00-000003000000}" name="Age"/>
    <tableColumn id="4" xr3:uid="{00000000-0010-0000-0B00-000004000000}" name="Exp"/>
    <tableColumn id="5" xr3:uid="{00000000-0010-0000-0B00-000005000000}" name="College"/>
    <tableColumn id="6" xr3:uid="{00000000-0010-0000-0B00-000006000000}" name="team"/>
    <tableColumn id="7" xr3:uid="{00000000-0010-0000-0B00-000007000000}" name="g"/>
    <tableColumn id="8" xr3:uid="{00000000-0010-0000-0B00-000008000000}" name="p_att"/>
    <tableColumn id="9" xr3:uid="{00000000-0010-0000-0B00-000009000000}" name="cmp"/>
    <tableColumn id="10" xr3:uid="{00000000-0010-0000-0B00-00000A000000}" name="p_yd"/>
    <tableColumn id="11" xr3:uid="{00000000-0010-0000-0B00-00000B000000}" name="p_td"/>
    <tableColumn id="12" xr3:uid="{00000000-0010-0000-0B00-00000C000000}" name="int"/>
    <tableColumn id="13" xr3:uid="{00000000-0010-0000-0B00-00000D000000}" name="car"/>
    <tableColumn id="14" xr3:uid="{00000000-0010-0000-0B00-00000E000000}" name="r_yd"/>
    <tableColumn id="15" xr3:uid="{00000000-0010-0000-0B00-00000F000000}" name="r_td"/>
    <tableColumn id="16" xr3:uid="{00000000-0010-0000-0B00-000010000000}" name="tgt"/>
    <tableColumn id="17" xr3:uid="{00000000-0010-0000-0B00-000011000000}" name="rec"/>
    <tableColumn id="18" xr3:uid="{00000000-0010-0000-0B00-000012000000}" name="rec_yd"/>
    <tableColumn id="19" xr3:uid="{00000000-0010-0000-0B00-000013000000}" name="rec_td"/>
    <tableColumn id="20" xr3:uid="{00000000-0010-0000-0B00-000014000000}" name="fmb"/>
    <tableColumn id="21" xr3:uid="{00000000-0010-0000-0B00-000015000000}" name="tp_c"/>
    <tableColumn id="22" xr3:uid="{00000000-0010-0000-0B00-000016000000}" name="f_ppr"/>
    <tableColumn id="23" xr3:uid="{00000000-0010-0000-0B00-000017000000}" name="tgt_share"/>
    <tableColumn id="24" xr3:uid="{00000000-0010-0000-0B00-000018000000}" name="ypc"/>
    <tableColumn id="25" xr3:uid="{00000000-0010-0000-0B00-000019000000}" name="ypr"/>
    <tableColumn id="26" xr3:uid="{00000000-0010-0000-0B00-00001A000000}" name="cmp_pct"/>
    <tableColumn id="27" xr3:uid="{00000000-0010-0000-0B00-00001B000000}" name="td_rate"/>
    <tableColumn id="28" xr3:uid="{00000000-0010-0000-0B00-00001C000000}" name="f_custo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able15" displayName="Table15" ref="A1:Y22" totalsRowShown="0">
  <autoFilter ref="A1:Y22" xr:uid="{00000000-0009-0000-0100-00000F000000}"/>
  <tableColumns count="25">
    <tableColumn id="1" xr3:uid="{00000000-0010-0000-0C00-000001000000}" name="player_name"/>
    <tableColumn id="2" xr3:uid="{00000000-0010-0000-0C00-000002000000}" name="recent_team"/>
    <tableColumn id="3" xr3:uid="{00000000-0010-0000-0C00-000003000000}" name="pos"/>
    <tableColumn id="4" xr3:uid="{00000000-0010-0000-0C00-000004000000}" name="g"/>
    <tableColumn id="5" xr3:uid="{00000000-0010-0000-0C00-000005000000}" name="p_att"/>
    <tableColumn id="6" xr3:uid="{00000000-0010-0000-0C00-000006000000}" name="cmp"/>
    <tableColumn id="7" xr3:uid="{00000000-0010-0000-0C00-000007000000}" name="p_yd"/>
    <tableColumn id="8" xr3:uid="{00000000-0010-0000-0C00-000008000000}" name="p_td"/>
    <tableColumn id="9" xr3:uid="{00000000-0010-0000-0C00-000009000000}" name="int"/>
    <tableColumn id="10" xr3:uid="{00000000-0010-0000-0C00-00000A000000}" name="car"/>
    <tableColumn id="11" xr3:uid="{00000000-0010-0000-0C00-00000B000000}" name="r_yd"/>
    <tableColumn id="12" xr3:uid="{00000000-0010-0000-0C00-00000C000000}" name="r_td"/>
    <tableColumn id="13" xr3:uid="{00000000-0010-0000-0C00-00000D000000}" name="tgt"/>
    <tableColumn id="14" xr3:uid="{00000000-0010-0000-0C00-00000E000000}" name="rec"/>
    <tableColumn id="15" xr3:uid="{00000000-0010-0000-0C00-00000F000000}" name="rec_yd"/>
    <tableColumn id="16" xr3:uid="{00000000-0010-0000-0C00-000010000000}" name="rec_td"/>
    <tableColumn id="17" xr3:uid="{00000000-0010-0000-0C00-000011000000}" name="fmb"/>
    <tableColumn id="18" xr3:uid="{00000000-0010-0000-0C00-000012000000}" name="tp_c"/>
    <tableColumn id="19" xr3:uid="{00000000-0010-0000-0C00-000013000000}" name="f_ppr"/>
    <tableColumn id="20" xr3:uid="{00000000-0010-0000-0C00-000014000000}" name="tgt_share"/>
    <tableColumn id="21" xr3:uid="{00000000-0010-0000-0C00-000015000000}" name="ypc"/>
    <tableColumn id="22" xr3:uid="{00000000-0010-0000-0C00-000016000000}" name="ypr"/>
    <tableColumn id="23" xr3:uid="{00000000-0010-0000-0C00-000017000000}" name="cmp_pct"/>
    <tableColumn id="24" xr3:uid="{00000000-0010-0000-0C00-000018000000}" name="td_rate"/>
    <tableColumn id="25" xr3:uid="{00000000-0010-0000-0C00-000019000000}" name="f_custo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Table16" displayName="Table16" ref="A30:L31" totalsRowShown="0">
  <autoFilter ref="A30:L31" xr:uid="{00000000-0009-0000-0100-000010000000}"/>
  <tableColumns count="12">
    <tableColumn id="1" xr3:uid="{00000000-0010-0000-0D00-000001000000}" name="team"/>
    <tableColumn id="2" xr3:uid="{00000000-0010-0000-0D00-000002000000}" name="off_yd"/>
    <tableColumn id="3" xr3:uid="{00000000-0010-0000-0D00-000003000000}" name="p_yd"/>
    <tableColumn id="4" xr3:uid="{00000000-0010-0000-0D00-000004000000}" name="car"/>
    <tableColumn id="5" xr3:uid="{00000000-0010-0000-0D00-000005000000}" name="r_yd"/>
    <tableColumn id="6" xr3:uid="{00000000-0010-0000-0D00-000006000000}" name="r_td"/>
    <tableColumn id="7" xr3:uid="{00000000-0010-0000-0D00-000007000000}" name="p_ff"/>
    <tableColumn id="8" xr3:uid="{00000000-0010-0000-0D00-000008000000}" name="p_att"/>
    <tableColumn id="9" xr3:uid="{00000000-0010-0000-0D00-000009000000}" name="cmp_pct"/>
    <tableColumn id="10" xr3:uid="{00000000-0010-0000-0D00-00000A000000}" name="p_td"/>
    <tableColumn id="11" xr3:uid="{00000000-0010-0000-0D00-00000B000000}" name="int"/>
    <tableColumn id="12" xr3:uid="{00000000-0010-0000-0D00-00000C000000}" name="fmb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Table17" displayName="Table17" ref="A32:L33" totalsRowShown="0">
  <autoFilter ref="A32:L33" xr:uid="{00000000-0009-0000-0100-000011000000}"/>
  <tableColumns count="12">
    <tableColumn id="1" xr3:uid="{00000000-0010-0000-0E00-000001000000}" name="team"/>
    <tableColumn id="2" xr3:uid="{00000000-0010-0000-0E00-000002000000}" name="off_yd"/>
    <tableColumn id="3" xr3:uid="{00000000-0010-0000-0E00-000003000000}" name="p_yd"/>
    <tableColumn id="4" xr3:uid="{00000000-0010-0000-0E00-000004000000}" name="car"/>
    <tableColumn id="5" xr3:uid="{00000000-0010-0000-0E00-000005000000}" name="r_yd"/>
    <tableColumn id="6" xr3:uid="{00000000-0010-0000-0E00-000006000000}" name="r_td"/>
    <tableColumn id="7" xr3:uid="{00000000-0010-0000-0E00-000007000000}" name="p_ff"/>
    <tableColumn id="8" xr3:uid="{00000000-0010-0000-0E00-000008000000}" name="p_att"/>
    <tableColumn id="9" xr3:uid="{00000000-0010-0000-0E00-000009000000}" name="cmp_pct"/>
    <tableColumn id="10" xr3:uid="{00000000-0010-0000-0E00-00000A000000}" name="p_td"/>
    <tableColumn id="11" xr3:uid="{00000000-0010-0000-0E00-00000B000000}" name="int"/>
    <tableColumn id="12" xr3:uid="{00000000-0010-0000-0E00-00000C000000}" name="fmb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Table18" displayName="Table18" ref="A35:AB62" totalsRowShown="0">
  <autoFilter ref="A35:AB62" xr:uid="{00000000-0009-0000-0100-000012000000}"/>
  <tableColumns count="28">
    <tableColumn id="1" xr3:uid="{00000000-0010-0000-0F00-000001000000}" name="Name"/>
    <tableColumn id="2" xr3:uid="{00000000-0010-0000-0F00-000002000000}" name="POS"/>
    <tableColumn id="3" xr3:uid="{00000000-0010-0000-0F00-000003000000}" name="Age"/>
    <tableColumn id="4" xr3:uid="{00000000-0010-0000-0F00-000004000000}" name="Exp"/>
    <tableColumn id="5" xr3:uid="{00000000-0010-0000-0F00-000005000000}" name="College"/>
    <tableColumn id="6" xr3:uid="{00000000-0010-0000-0F00-000006000000}" name="team"/>
    <tableColumn id="7" xr3:uid="{00000000-0010-0000-0F00-000007000000}" name="g"/>
    <tableColumn id="8" xr3:uid="{00000000-0010-0000-0F00-000008000000}" name="p_att"/>
    <tableColumn id="9" xr3:uid="{00000000-0010-0000-0F00-000009000000}" name="cmp"/>
    <tableColumn id="10" xr3:uid="{00000000-0010-0000-0F00-00000A000000}" name="p_yd"/>
    <tableColumn id="11" xr3:uid="{00000000-0010-0000-0F00-00000B000000}" name="p_td"/>
    <tableColumn id="12" xr3:uid="{00000000-0010-0000-0F00-00000C000000}" name="int"/>
    <tableColumn id="13" xr3:uid="{00000000-0010-0000-0F00-00000D000000}" name="car"/>
    <tableColumn id="14" xr3:uid="{00000000-0010-0000-0F00-00000E000000}" name="r_yd"/>
    <tableColumn id="15" xr3:uid="{00000000-0010-0000-0F00-00000F000000}" name="r_td"/>
    <tableColumn id="16" xr3:uid="{00000000-0010-0000-0F00-000010000000}" name="tgt"/>
    <tableColumn id="17" xr3:uid="{00000000-0010-0000-0F00-000011000000}" name="rec"/>
    <tableColumn id="18" xr3:uid="{00000000-0010-0000-0F00-000012000000}" name="rec_yd"/>
    <tableColumn id="19" xr3:uid="{00000000-0010-0000-0F00-000013000000}" name="rec_td"/>
    <tableColumn id="20" xr3:uid="{00000000-0010-0000-0F00-000014000000}" name="fmb"/>
    <tableColumn id="21" xr3:uid="{00000000-0010-0000-0F00-000015000000}" name="tp_c"/>
    <tableColumn id="22" xr3:uid="{00000000-0010-0000-0F00-000016000000}" name="f_ppr"/>
    <tableColumn id="23" xr3:uid="{00000000-0010-0000-0F00-000017000000}" name="tgt_share"/>
    <tableColumn id="24" xr3:uid="{00000000-0010-0000-0F00-000018000000}" name="ypc"/>
    <tableColumn id="25" xr3:uid="{00000000-0010-0000-0F00-000019000000}" name="ypr"/>
    <tableColumn id="26" xr3:uid="{00000000-0010-0000-0F00-00001A000000}" name="cmp_pct"/>
    <tableColumn id="27" xr3:uid="{00000000-0010-0000-0F00-00001B000000}" name="td_rate"/>
    <tableColumn id="28" xr3:uid="{00000000-0010-0000-0F00-00001C000000}" name="f_custom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able19" displayName="Table19" ref="A1:Y19" totalsRowShown="0">
  <autoFilter ref="A1:Y19" xr:uid="{00000000-0009-0000-0100-000013000000}"/>
  <tableColumns count="25">
    <tableColumn id="1" xr3:uid="{00000000-0010-0000-1000-000001000000}" name="player_name"/>
    <tableColumn id="2" xr3:uid="{00000000-0010-0000-1000-000002000000}" name="recent_team"/>
    <tableColumn id="3" xr3:uid="{00000000-0010-0000-1000-000003000000}" name="pos"/>
    <tableColumn id="4" xr3:uid="{00000000-0010-0000-1000-000004000000}" name="g"/>
    <tableColumn id="5" xr3:uid="{00000000-0010-0000-1000-000005000000}" name="p_att"/>
    <tableColumn id="6" xr3:uid="{00000000-0010-0000-1000-000006000000}" name="cmp"/>
    <tableColumn id="7" xr3:uid="{00000000-0010-0000-1000-000007000000}" name="p_yd"/>
    <tableColumn id="8" xr3:uid="{00000000-0010-0000-1000-000008000000}" name="p_td"/>
    <tableColumn id="9" xr3:uid="{00000000-0010-0000-1000-000009000000}" name="int"/>
    <tableColumn id="10" xr3:uid="{00000000-0010-0000-1000-00000A000000}" name="car"/>
    <tableColumn id="11" xr3:uid="{00000000-0010-0000-1000-00000B000000}" name="r_yd"/>
    <tableColumn id="12" xr3:uid="{00000000-0010-0000-1000-00000C000000}" name="r_td"/>
    <tableColumn id="13" xr3:uid="{00000000-0010-0000-1000-00000D000000}" name="tgt"/>
    <tableColumn id="14" xr3:uid="{00000000-0010-0000-1000-00000E000000}" name="rec"/>
    <tableColumn id="15" xr3:uid="{00000000-0010-0000-1000-00000F000000}" name="rec_yd"/>
    <tableColumn id="16" xr3:uid="{00000000-0010-0000-1000-000010000000}" name="rec_td"/>
    <tableColumn id="17" xr3:uid="{00000000-0010-0000-1000-000011000000}" name="fmb"/>
    <tableColumn id="18" xr3:uid="{00000000-0010-0000-1000-000012000000}" name="tp_c"/>
    <tableColumn id="19" xr3:uid="{00000000-0010-0000-1000-000013000000}" name="f_ppr"/>
    <tableColumn id="20" xr3:uid="{00000000-0010-0000-1000-000014000000}" name="tgt_share"/>
    <tableColumn id="21" xr3:uid="{00000000-0010-0000-1000-000015000000}" name="ypc"/>
    <tableColumn id="22" xr3:uid="{00000000-0010-0000-1000-000016000000}" name="ypr"/>
    <tableColumn id="23" xr3:uid="{00000000-0010-0000-1000-000017000000}" name="cmp_pct"/>
    <tableColumn id="24" xr3:uid="{00000000-0010-0000-1000-000018000000}" name="td_rate"/>
    <tableColumn id="25" xr3:uid="{00000000-0010-0000-1000-000019000000}" name="f_custom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Table20" displayName="Table20" ref="A30:L31" totalsRowShown="0">
  <autoFilter ref="A30:L31" xr:uid="{00000000-0009-0000-0100-000014000000}"/>
  <tableColumns count="12">
    <tableColumn id="1" xr3:uid="{00000000-0010-0000-1100-000001000000}" name="team"/>
    <tableColumn id="2" xr3:uid="{00000000-0010-0000-1100-000002000000}" name="off_yd"/>
    <tableColumn id="3" xr3:uid="{00000000-0010-0000-1100-000003000000}" name="p_yd"/>
    <tableColumn id="4" xr3:uid="{00000000-0010-0000-1100-000004000000}" name="car"/>
    <tableColumn id="5" xr3:uid="{00000000-0010-0000-1100-000005000000}" name="r_yd"/>
    <tableColumn id="6" xr3:uid="{00000000-0010-0000-1100-000006000000}" name="r_td"/>
    <tableColumn id="7" xr3:uid="{00000000-0010-0000-1100-000007000000}" name="p_ff"/>
    <tableColumn id="8" xr3:uid="{00000000-0010-0000-1100-000008000000}" name="p_att"/>
    <tableColumn id="9" xr3:uid="{00000000-0010-0000-1100-000009000000}" name="cmp_pct"/>
    <tableColumn id="10" xr3:uid="{00000000-0010-0000-1100-00000A000000}" name="p_td"/>
    <tableColumn id="11" xr3:uid="{00000000-0010-0000-1100-00000B000000}" name="int"/>
    <tableColumn id="12" xr3:uid="{00000000-0010-0000-1100-00000C000000}" name="fmb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Table21" displayName="Table21" ref="A32:L33" totalsRowShown="0">
  <autoFilter ref="A32:L33" xr:uid="{00000000-0009-0000-0100-000015000000}"/>
  <tableColumns count="12">
    <tableColumn id="1" xr3:uid="{00000000-0010-0000-1200-000001000000}" name="team"/>
    <tableColumn id="2" xr3:uid="{00000000-0010-0000-1200-000002000000}" name="off_yd"/>
    <tableColumn id="3" xr3:uid="{00000000-0010-0000-1200-000003000000}" name="p_yd"/>
    <tableColumn id="4" xr3:uid="{00000000-0010-0000-1200-000004000000}" name="car"/>
    <tableColumn id="5" xr3:uid="{00000000-0010-0000-1200-000005000000}" name="r_yd"/>
    <tableColumn id="6" xr3:uid="{00000000-0010-0000-1200-000006000000}" name="r_td"/>
    <tableColumn id="7" xr3:uid="{00000000-0010-0000-1200-000007000000}" name="p_ff"/>
    <tableColumn id="8" xr3:uid="{00000000-0010-0000-1200-000008000000}" name="p_att"/>
    <tableColumn id="9" xr3:uid="{00000000-0010-0000-1200-000009000000}" name="cmp_pct"/>
    <tableColumn id="10" xr3:uid="{00000000-0010-0000-1200-00000A000000}" name="p_td"/>
    <tableColumn id="11" xr3:uid="{00000000-0010-0000-1200-00000B000000}" name="int"/>
    <tableColumn id="12" xr3:uid="{00000000-0010-0000-1200-00000C000000}" name="fmb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Table22" displayName="Table22" ref="A35:AB61" totalsRowShown="0">
  <autoFilter ref="A35:AB61" xr:uid="{00000000-0009-0000-0100-000016000000}"/>
  <tableColumns count="28">
    <tableColumn id="1" xr3:uid="{00000000-0010-0000-1300-000001000000}" name="Name"/>
    <tableColumn id="2" xr3:uid="{00000000-0010-0000-1300-000002000000}" name="POS"/>
    <tableColumn id="3" xr3:uid="{00000000-0010-0000-1300-000003000000}" name="Age"/>
    <tableColumn id="4" xr3:uid="{00000000-0010-0000-1300-000004000000}" name="Exp"/>
    <tableColumn id="5" xr3:uid="{00000000-0010-0000-1300-000005000000}" name="College"/>
    <tableColumn id="6" xr3:uid="{00000000-0010-0000-1300-000006000000}" name="team"/>
    <tableColumn id="7" xr3:uid="{00000000-0010-0000-1300-000007000000}" name="g"/>
    <tableColumn id="8" xr3:uid="{00000000-0010-0000-1300-000008000000}" name="p_att"/>
    <tableColumn id="9" xr3:uid="{00000000-0010-0000-1300-000009000000}" name="cmp"/>
    <tableColumn id="10" xr3:uid="{00000000-0010-0000-1300-00000A000000}" name="p_yd"/>
    <tableColumn id="11" xr3:uid="{00000000-0010-0000-1300-00000B000000}" name="p_td"/>
    <tableColumn id="12" xr3:uid="{00000000-0010-0000-1300-00000C000000}" name="int"/>
    <tableColumn id="13" xr3:uid="{00000000-0010-0000-1300-00000D000000}" name="car"/>
    <tableColumn id="14" xr3:uid="{00000000-0010-0000-1300-00000E000000}" name="r_yd"/>
    <tableColumn id="15" xr3:uid="{00000000-0010-0000-1300-00000F000000}" name="r_td"/>
    <tableColumn id="16" xr3:uid="{00000000-0010-0000-1300-000010000000}" name="tgt"/>
    <tableColumn id="17" xr3:uid="{00000000-0010-0000-1300-000011000000}" name="rec"/>
    <tableColumn id="18" xr3:uid="{00000000-0010-0000-1300-000012000000}" name="rec_yd"/>
    <tableColumn id="19" xr3:uid="{00000000-0010-0000-1300-000013000000}" name="rec_td"/>
    <tableColumn id="20" xr3:uid="{00000000-0010-0000-1300-000014000000}" name="fmb"/>
    <tableColumn id="21" xr3:uid="{00000000-0010-0000-1300-000015000000}" name="tp_c"/>
    <tableColumn id="22" xr3:uid="{00000000-0010-0000-1300-000016000000}" name="f_ppr"/>
    <tableColumn id="23" xr3:uid="{00000000-0010-0000-1300-000017000000}" name="tgt_share"/>
    <tableColumn id="24" xr3:uid="{00000000-0010-0000-1300-000018000000}" name="ypc"/>
    <tableColumn id="25" xr3:uid="{00000000-0010-0000-1300-000019000000}" name="ypr"/>
    <tableColumn id="26" xr3:uid="{00000000-0010-0000-1300-00001A000000}" name="cmp_pct"/>
    <tableColumn id="27" xr3:uid="{00000000-0010-0000-1300-00001B000000}" name="td_rate"/>
    <tableColumn id="28" xr3:uid="{00000000-0010-0000-1300-00001C000000}" name="f_custom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le23" displayName="Table23" ref="A1:Y23" totalsRowShown="0">
  <autoFilter ref="A1:Y23" xr:uid="{00000000-0009-0000-0100-000017000000}"/>
  <tableColumns count="25">
    <tableColumn id="1" xr3:uid="{00000000-0010-0000-1400-000001000000}" name="player_name"/>
    <tableColumn id="2" xr3:uid="{00000000-0010-0000-1400-000002000000}" name="recent_team"/>
    <tableColumn id="3" xr3:uid="{00000000-0010-0000-1400-000003000000}" name="pos"/>
    <tableColumn id="4" xr3:uid="{00000000-0010-0000-1400-000004000000}" name="g"/>
    <tableColumn id="5" xr3:uid="{00000000-0010-0000-1400-000005000000}" name="p_att"/>
    <tableColumn id="6" xr3:uid="{00000000-0010-0000-1400-000006000000}" name="cmp"/>
    <tableColumn id="7" xr3:uid="{00000000-0010-0000-1400-000007000000}" name="p_yd"/>
    <tableColumn id="8" xr3:uid="{00000000-0010-0000-1400-000008000000}" name="p_td"/>
    <tableColumn id="9" xr3:uid="{00000000-0010-0000-1400-000009000000}" name="int"/>
    <tableColumn id="10" xr3:uid="{00000000-0010-0000-1400-00000A000000}" name="car"/>
    <tableColumn id="11" xr3:uid="{00000000-0010-0000-1400-00000B000000}" name="r_yd"/>
    <tableColumn id="12" xr3:uid="{00000000-0010-0000-1400-00000C000000}" name="r_td"/>
    <tableColumn id="13" xr3:uid="{00000000-0010-0000-1400-00000D000000}" name="tgt"/>
    <tableColumn id="14" xr3:uid="{00000000-0010-0000-1400-00000E000000}" name="rec"/>
    <tableColumn id="15" xr3:uid="{00000000-0010-0000-1400-00000F000000}" name="rec_yd"/>
    <tableColumn id="16" xr3:uid="{00000000-0010-0000-1400-000010000000}" name="rec_td"/>
    <tableColumn id="17" xr3:uid="{00000000-0010-0000-1400-000011000000}" name="fmb"/>
    <tableColumn id="18" xr3:uid="{00000000-0010-0000-1400-000012000000}" name="tp_c"/>
    <tableColumn id="19" xr3:uid="{00000000-0010-0000-1400-000013000000}" name="f_ppr"/>
    <tableColumn id="20" xr3:uid="{00000000-0010-0000-1400-000014000000}" name="tgt_share"/>
    <tableColumn id="21" xr3:uid="{00000000-0010-0000-1400-000015000000}" name="ypc"/>
    <tableColumn id="22" xr3:uid="{00000000-0010-0000-1400-000016000000}" name="ypr"/>
    <tableColumn id="23" xr3:uid="{00000000-0010-0000-1400-000017000000}" name="cmp_pct"/>
    <tableColumn id="24" xr3:uid="{00000000-0010-0000-1400-000018000000}" name="td_rate"/>
    <tableColumn id="25" xr3:uid="{00000000-0010-0000-1400-000019000000}" name="f_custom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able24" displayName="Table24" ref="A30:L31" totalsRowShown="0">
  <autoFilter ref="A30:L31" xr:uid="{00000000-0009-0000-0100-000018000000}"/>
  <tableColumns count="12">
    <tableColumn id="1" xr3:uid="{00000000-0010-0000-1500-000001000000}" name="team"/>
    <tableColumn id="2" xr3:uid="{00000000-0010-0000-1500-000002000000}" name="off_yd"/>
    <tableColumn id="3" xr3:uid="{00000000-0010-0000-1500-000003000000}" name="p_yd"/>
    <tableColumn id="4" xr3:uid="{00000000-0010-0000-1500-000004000000}" name="car"/>
    <tableColumn id="5" xr3:uid="{00000000-0010-0000-1500-000005000000}" name="r_yd"/>
    <tableColumn id="6" xr3:uid="{00000000-0010-0000-1500-000006000000}" name="r_td"/>
    <tableColumn id="7" xr3:uid="{00000000-0010-0000-1500-000007000000}" name="p_ff"/>
    <tableColumn id="8" xr3:uid="{00000000-0010-0000-1500-000008000000}" name="p_att"/>
    <tableColumn id="9" xr3:uid="{00000000-0010-0000-1500-000009000000}" name="cmp_pct"/>
    <tableColumn id="10" xr3:uid="{00000000-0010-0000-1500-00000A000000}" name="p_td"/>
    <tableColumn id="11" xr3:uid="{00000000-0010-0000-1500-00000B000000}" name="int"/>
    <tableColumn id="12" xr3:uid="{00000000-0010-0000-1500-00000C000000}" name="fmb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le25" displayName="Table25" ref="A32:L33" totalsRowShown="0">
  <autoFilter ref="A32:L33" xr:uid="{00000000-0009-0000-0100-000019000000}"/>
  <tableColumns count="12">
    <tableColumn id="1" xr3:uid="{00000000-0010-0000-1600-000001000000}" name="team"/>
    <tableColumn id="2" xr3:uid="{00000000-0010-0000-1600-000002000000}" name="off_yd"/>
    <tableColumn id="3" xr3:uid="{00000000-0010-0000-1600-000003000000}" name="p_yd"/>
    <tableColumn id="4" xr3:uid="{00000000-0010-0000-1600-000004000000}" name="car"/>
    <tableColumn id="5" xr3:uid="{00000000-0010-0000-1600-000005000000}" name="r_yd"/>
    <tableColumn id="6" xr3:uid="{00000000-0010-0000-1600-000006000000}" name="r_td"/>
    <tableColumn id="7" xr3:uid="{00000000-0010-0000-1600-000007000000}" name="p_ff"/>
    <tableColumn id="8" xr3:uid="{00000000-0010-0000-1600-000008000000}" name="p_att"/>
    <tableColumn id="9" xr3:uid="{00000000-0010-0000-1600-000009000000}" name="cmp_pct"/>
    <tableColumn id="10" xr3:uid="{00000000-0010-0000-1600-00000A000000}" name="p_td"/>
    <tableColumn id="11" xr3:uid="{00000000-0010-0000-1600-00000B000000}" name="int"/>
    <tableColumn id="12" xr3:uid="{00000000-0010-0000-1600-00000C000000}" name="fmb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able26" displayName="Table26" ref="A35:AB61" totalsRowShown="0">
  <autoFilter ref="A35:AB61" xr:uid="{00000000-0009-0000-0100-00001A000000}"/>
  <tableColumns count="28">
    <tableColumn id="1" xr3:uid="{00000000-0010-0000-1700-000001000000}" name="Name"/>
    <tableColumn id="2" xr3:uid="{00000000-0010-0000-1700-000002000000}" name="POS"/>
    <tableColumn id="3" xr3:uid="{00000000-0010-0000-1700-000003000000}" name="Age"/>
    <tableColumn id="4" xr3:uid="{00000000-0010-0000-1700-000004000000}" name="Exp"/>
    <tableColumn id="5" xr3:uid="{00000000-0010-0000-1700-000005000000}" name="College"/>
    <tableColumn id="6" xr3:uid="{00000000-0010-0000-1700-000006000000}" name="team"/>
    <tableColumn id="7" xr3:uid="{00000000-0010-0000-1700-000007000000}" name="g"/>
    <tableColumn id="8" xr3:uid="{00000000-0010-0000-1700-000008000000}" name="p_att"/>
    <tableColumn id="9" xr3:uid="{00000000-0010-0000-1700-000009000000}" name="cmp"/>
    <tableColumn id="10" xr3:uid="{00000000-0010-0000-1700-00000A000000}" name="p_yd"/>
    <tableColumn id="11" xr3:uid="{00000000-0010-0000-1700-00000B000000}" name="p_td"/>
    <tableColumn id="12" xr3:uid="{00000000-0010-0000-1700-00000C000000}" name="int"/>
    <tableColumn id="13" xr3:uid="{00000000-0010-0000-1700-00000D000000}" name="car"/>
    <tableColumn id="14" xr3:uid="{00000000-0010-0000-1700-00000E000000}" name="r_yd"/>
    <tableColumn id="15" xr3:uid="{00000000-0010-0000-1700-00000F000000}" name="r_td"/>
    <tableColumn id="16" xr3:uid="{00000000-0010-0000-1700-000010000000}" name="tgt"/>
    <tableColumn id="17" xr3:uid="{00000000-0010-0000-1700-000011000000}" name="rec"/>
    <tableColumn id="18" xr3:uid="{00000000-0010-0000-1700-000012000000}" name="rec_yd"/>
    <tableColumn id="19" xr3:uid="{00000000-0010-0000-1700-000013000000}" name="rec_td"/>
    <tableColumn id="20" xr3:uid="{00000000-0010-0000-1700-000014000000}" name="fmb"/>
    <tableColumn id="21" xr3:uid="{00000000-0010-0000-1700-000015000000}" name="tp_c"/>
    <tableColumn id="22" xr3:uid="{00000000-0010-0000-1700-000016000000}" name="f_ppr"/>
    <tableColumn id="23" xr3:uid="{00000000-0010-0000-1700-000017000000}" name="tgt_share"/>
    <tableColumn id="24" xr3:uid="{00000000-0010-0000-1700-000018000000}" name="ypc"/>
    <tableColumn id="25" xr3:uid="{00000000-0010-0000-1700-000019000000}" name="ypr"/>
    <tableColumn id="26" xr3:uid="{00000000-0010-0000-1700-00001A000000}" name="cmp_pct"/>
    <tableColumn id="27" xr3:uid="{00000000-0010-0000-1700-00001B000000}" name="td_rate"/>
    <tableColumn id="28" xr3:uid="{00000000-0010-0000-1700-00001C000000}" name="f_custom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le27" displayName="Table27" ref="A1:Y18" totalsRowShown="0">
  <autoFilter ref="A1:Y18" xr:uid="{00000000-0009-0000-0100-00001B000000}"/>
  <tableColumns count="25">
    <tableColumn id="1" xr3:uid="{00000000-0010-0000-1800-000001000000}" name="player_name"/>
    <tableColumn id="2" xr3:uid="{00000000-0010-0000-1800-000002000000}" name="recent_team"/>
    <tableColumn id="3" xr3:uid="{00000000-0010-0000-1800-000003000000}" name="pos"/>
    <tableColumn id="4" xr3:uid="{00000000-0010-0000-1800-000004000000}" name="g"/>
    <tableColumn id="5" xr3:uid="{00000000-0010-0000-1800-000005000000}" name="p_att"/>
    <tableColumn id="6" xr3:uid="{00000000-0010-0000-1800-000006000000}" name="cmp"/>
    <tableColumn id="7" xr3:uid="{00000000-0010-0000-1800-000007000000}" name="p_yd"/>
    <tableColumn id="8" xr3:uid="{00000000-0010-0000-1800-000008000000}" name="p_td"/>
    <tableColumn id="9" xr3:uid="{00000000-0010-0000-1800-000009000000}" name="int"/>
    <tableColumn id="10" xr3:uid="{00000000-0010-0000-1800-00000A000000}" name="car"/>
    <tableColumn id="11" xr3:uid="{00000000-0010-0000-1800-00000B000000}" name="r_yd"/>
    <tableColumn id="12" xr3:uid="{00000000-0010-0000-1800-00000C000000}" name="r_td"/>
    <tableColumn id="13" xr3:uid="{00000000-0010-0000-1800-00000D000000}" name="tgt"/>
    <tableColumn id="14" xr3:uid="{00000000-0010-0000-1800-00000E000000}" name="rec"/>
    <tableColumn id="15" xr3:uid="{00000000-0010-0000-1800-00000F000000}" name="rec_yd"/>
    <tableColumn id="16" xr3:uid="{00000000-0010-0000-1800-000010000000}" name="rec_td"/>
    <tableColumn id="17" xr3:uid="{00000000-0010-0000-1800-000011000000}" name="fmb"/>
    <tableColumn id="18" xr3:uid="{00000000-0010-0000-1800-000012000000}" name="tp_c"/>
    <tableColumn id="19" xr3:uid="{00000000-0010-0000-1800-000013000000}" name="f_ppr"/>
    <tableColumn id="20" xr3:uid="{00000000-0010-0000-1800-000014000000}" name="tgt_share"/>
    <tableColumn id="21" xr3:uid="{00000000-0010-0000-1800-000015000000}" name="ypc"/>
    <tableColumn id="22" xr3:uid="{00000000-0010-0000-1800-000016000000}" name="ypr"/>
    <tableColumn id="23" xr3:uid="{00000000-0010-0000-1800-000017000000}" name="cmp_pct"/>
    <tableColumn id="24" xr3:uid="{00000000-0010-0000-1800-000018000000}" name="td_rate"/>
    <tableColumn id="25" xr3:uid="{00000000-0010-0000-1800-000019000000}" name="f_custom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able28" displayName="Table28" ref="A30:L31" totalsRowShown="0">
  <autoFilter ref="A30:L31" xr:uid="{00000000-0009-0000-0100-00001C000000}"/>
  <tableColumns count="12">
    <tableColumn id="1" xr3:uid="{00000000-0010-0000-1900-000001000000}" name="team"/>
    <tableColumn id="2" xr3:uid="{00000000-0010-0000-1900-000002000000}" name="off_yd"/>
    <tableColumn id="3" xr3:uid="{00000000-0010-0000-1900-000003000000}" name="p_yd"/>
    <tableColumn id="4" xr3:uid="{00000000-0010-0000-1900-000004000000}" name="car"/>
    <tableColumn id="5" xr3:uid="{00000000-0010-0000-1900-000005000000}" name="r_yd"/>
    <tableColumn id="6" xr3:uid="{00000000-0010-0000-1900-000006000000}" name="r_td"/>
    <tableColumn id="7" xr3:uid="{00000000-0010-0000-1900-000007000000}" name="p_ff"/>
    <tableColumn id="8" xr3:uid="{00000000-0010-0000-1900-000008000000}" name="p_att"/>
    <tableColumn id="9" xr3:uid="{00000000-0010-0000-1900-000009000000}" name="cmp_pct"/>
    <tableColumn id="10" xr3:uid="{00000000-0010-0000-1900-00000A000000}" name="p_td"/>
    <tableColumn id="11" xr3:uid="{00000000-0010-0000-1900-00000B000000}" name="int"/>
    <tableColumn id="12" xr3:uid="{00000000-0010-0000-1900-00000C000000}" name="fmb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le29" displayName="Table29" ref="A32:L33" totalsRowShown="0">
  <autoFilter ref="A32:L33" xr:uid="{00000000-0009-0000-0100-00001D000000}"/>
  <tableColumns count="12">
    <tableColumn id="1" xr3:uid="{00000000-0010-0000-1A00-000001000000}" name="team"/>
    <tableColumn id="2" xr3:uid="{00000000-0010-0000-1A00-000002000000}" name="off_yd"/>
    <tableColumn id="3" xr3:uid="{00000000-0010-0000-1A00-000003000000}" name="p_yd"/>
    <tableColumn id="4" xr3:uid="{00000000-0010-0000-1A00-000004000000}" name="car"/>
    <tableColumn id="5" xr3:uid="{00000000-0010-0000-1A00-000005000000}" name="r_yd"/>
    <tableColumn id="6" xr3:uid="{00000000-0010-0000-1A00-000006000000}" name="r_td"/>
    <tableColumn id="7" xr3:uid="{00000000-0010-0000-1A00-000007000000}" name="p_ff"/>
    <tableColumn id="8" xr3:uid="{00000000-0010-0000-1A00-000008000000}" name="p_att"/>
    <tableColumn id="9" xr3:uid="{00000000-0010-0000-1A00-000009000000}" name="cmp_pct"/>
    <tableColumn id="10" xr3:uid="{00000000-0010-0000-1A00-00000A000000}" name="p_td"/>
    <tableColumn id="11" xr3:uid="{00000000-0010-0000-1A00-00000B000000}" name="int"/>
    <tableColumn id="12" xr3:uid="{00000000-0010-0000-1A00-00000C000000}" name="fmb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Table30" displayName="Table30" ref="A35:AB62" totalsRowShown="0">
  <autoFilter ref="A35:AB62" xr:uid="{00000000-0009-0000-0100-00001E000000}"/>
  <tableColumns count="28">
    <tableColumn id="1" xr3:uid="{00000000-0010-0000-1B00-000001000000}" name="Name"/>
    <tableColumn id="2" xr3:uid="{00000000-0010-0000-1B00-000002000000}" name="POS"/>
    <tableColumn id="3" xr3:uid="{00000000-0010-0000-1B00-000003000000}" name="Age"/>
    <tableColumn id="4" xr3:uid="{00000000-0010-0000-1B00-000004000000}" name="Exp"/>
    <tableColumn id="5" xr3:uid="{00000000-0010-0000-1B00-000005000000}" name="College"/>
    <tableColumn id="6" xr3:uid="{00000000-0010-0000-1B00-000006000000}" name="team"/>
    <tableColumn id="7" xr3:uid="{00000000-0010-0000-1B00-000007000000}" name="g"/>
    <tableColumn id="8" xr3:uid="{00000000-0010-0000-1B00-000008000000}" name="p_att"/>
    <tableColumn id="9" xr3:uid="{00000000-0010-0000-1B00-000009000000}" name="cmp"/>
    <tableColumn id="10" xr3:uid="{00000000-0010-0000-1B00-00000A000000}" name="p_yd"/>
    <tableColumn id="11" xr3:uid="{00000000-0010-0000-1B00-00000B000000}" name="p_td"/>
    <tableColumn id="12" xr3:uid="{00000000-0010-0000-1B00-00000C000000}" name="int"/>
    <tableColumn id="13" xr3:uid="{00000000-0010-0000-1B00-00000D000000}" name="car"/>
    <tableColumn id="14" xr3:uid="{00000000-0010-0000-1B00-00000E000000}" name="r_yd"/>
    <tableColumn id="15" xr3:uid="{00000000-0010-0000-1B00-00000F000000}" name="r_td"/>
    <tableColumn id="16" xr3:uid="{00000000-0010-0000-1B00-000010000000}" name="tgt"/>
    <tableColumn id="17" xr3:uid="{00000000-0010-0000-1B00-000011000000}" name="rec"/>
    <tableColumn id="18" xr3:uid="{00000000-0010-0000-1B00-000012000000}" name="rec_yd"/>
    <tableColumn id="19" xr3:uid="{00000000-0010-0000-1B00-000013000000}" name="rec_td"/>
    <tableColumn id="20" xr3:uid="{00000000-0010-0000-1B00-000014000000}" name="fmb"/>
    <tableColumn id="21" xr3:uid="{00000000-0010-0000-1B00-000015000000}" name="tp_c"/>
    <tableColumn id="22" xr3:uid="{00000000-0010-0000-1B00-000016000000}" name="f_ppr"/>
    <tableColumn id="23" xr3:uid="{00000000-0010-0000-1B00-000017000000}" name="tgt_share"/>
    <tableColumn id="24" xr3:uid="{00000000-0010-0000-1B00-000018000000}" name="ypc"/>
    <tableColumn id="25" xr3:uid="{00000000-0010-0000-1B00-000019000000}" name="ypr"/>
    <tableColumn id="26" xr3:uid="{00000000-0010-0000-1B00-00001A000000}" name="cmp_pct"/>
    <tableColumn id="27" xr3:uid="{00000000-0010-0000-1B00-00001B000000}" name="td_rate"/>
    <tableColumn id="28" xr3:uid="{00000000-0010-0000-1B00-00001C000000}" name="f_custom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Table31" displayName="Table31" ref="A1:Y18" totalsRowShown="0">
  <autoFilter ref="A1:Y18" xr:uid="{00000000-0009-0000-0100-00001F000000}"/>
  <tableColumns count="25">
    <tableColumn id="1" xr3:uid="{00000000-0010-0000-1C00-000001000000}" name="player_name"/>
    <tableColumn id="2" xr3:uid="{00000000-0010-0000-1C00-000002000000}" name="recent_team"/>
    <tableColumn id="3" xr3:uid="{00000000-0010-0000-1C00-000003000000}" name="pos"/>
    <tableColumn id="4" xr3:uid="{00000000-0010-0000-1C00-000004000000}" name="g"/>
    <tableColumn id="5" xr3:uid="{00000000-0010-0000-1C00-000005000000}" name="p_att"/>
    <tableColumn id="6" xr3:uid="{00000000-0010-0000-1C00-000006000000}" name="cmp"/>
    <tableColumn id="7" xr3:uid="{00000000-0010-0000-1C00-000007000000}" name="p_yd"/>
    <tableColumn id="8" xr3:uid="{00000000-0010-0000-1C00-000008000000}" name="p_td"/>
    <tableColumn id="9" xr3:uid="{00000000-0010-0000-1C00-000009000000}" name="int"/>
    <tableColumn id="10" xr3:uid="{00000000-0010-0000-1C00-00000A000000}" name="car"/>
    <tableColumn id="11" xr3:uid="{00000000-0010-0000-1C00-00000B000000}" name="r_yd"/>
    <tableColumn id="12" xr3:uid="{00000000-0010-0000-1C00-00000C000000}" name="r_td"/>
    <tableColumn id="13" xr3:uid="{00000000-0010-0000-1C00-00000D000000}" name="tgt"/>
    <tableColumn id="14" xr3:uid="{00000000-0010-0000-1C00-00000E000000}" name="rec"/>
    <tableColumn id="15" xr3:uid="{00000000-0010-0000-1C00-00000F000000}" name="rec_yd"/>
    <tableColumn id="16" xr3:uid="{00000000-0010-0000-1C00-000010000000}" name="rec_td"/>
    <tableColumn id="17" xr3:uid="{00000000-0010-0000-1C00-000011000000}" name="fmb"/>
    <tableColumn id="18" xr3:uid="{00000000-0010-0000-1C00-000012000000}" name="tp_c"/>
    <tableColumn id="19" xr3:uid="{00000000-0010-0000-1C00-000013000000}" name="f_ppr"/>
    <tableColumn id="20" xr3:uid="{00000000-0010-0000-1C00-000014000000}" name="tgt_share"/>
    <tableColumn id="21" xr3:uid="{00000000-0010-0000-1C00-000015000000}" name="ypc"/>
    <tableColumn id="22" xr3:uid="{00000000-0010-0000-1C00-000016000000}" name="ypr"/>
    <tableColumn id="23" xr3:uid="{00000000-0010-0000-1C00-000017000000}" name="cmp_pct"/>
    <tableColumn id="24" xr3:uid="{00000000-0010-0000-1C00-000018000000}" name="td_rate"/>
    <tableColumn id="25" xr3:uid="{00000000-0010-0000-1C00-000019000000}" name="f_custom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Table32" displayName="Table32" ref="A30:L31" totalsRowShown="0">
  <autoFilter ref="A30:L31" xr:uid="{00000000-0009-0000-0100-000020000000}"/>
  <tableColumns count="12">
    <tableColumn id="1" xr3:uid="{00000000-0010-0000-1D00-000001000000}" name="team"/>
    <tableColumn id="2" xr3:uid="{00000000-0010-0000-1D00-000002000000}" name="off_yd"/>
    <tableColumn id="3" xr3:uid="{00000000-0010-0000-1D00-000003000000}" name="p_yd"/>
    <tableColumn id="4" xr3:uid="{00000000-0010-0000-1D00-000004000000}" name="car"/>
    <tableColumn id="5" xr3:uid="{00000000-0010-0000-1D00-000005000000}" name="r_yd"/>
    <tableColumn id="6" xr3:uid="{00000000-0010-0000-1D00-000006000000}" name="r_td"/>
    <tableColumn id="7" xr3:uid="{00000000-0010-0000-1D00-000007000000}" name="p_ff"/>
    <tableColumn id="8" xr3:uid="{00000000-0010-0000-1D00-000008000000}" name="p_att"/>
    <tableColumn id="9" xr3:uid="{00000000-0010-0000-1D00-000009000000}" name="cmp_pct"/>
    <tableColumn id="10" xr3:uid="{00000000-0010-0000-1D00-00000A000000}" name="p_td"/>
    <tableColumn id="11" xr3:uid="{00000000-0010-0000-1D00-00000B000000}" name="int"/>
    <tableColumn id="12" xr3:uid="{00000000-0010-0000-1D00-00000C000000}" name="fmb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Table33" displayName="Table33" ref="A32:L33" totalsRowShown="0">
  <autoFilter ref="A32:L33" xr:uid="{00000000-0009-0000-0100-000021000000}"/>
  <tableColumns count="12">
    <tableColumn id="1" xr3:uid="{00000000-0010-0000-1E00-000001000000}" name="team"/>
    <tableColumn id="2" xr3:uid="{00000000-0010-0000-1E00-000002000000}" name="off_yd"/>
    <tableColumn id="3" xr3:uid="{00000000-0010-0000-1E00-000003000000}" name="p_yd"/>
    <tableColumn id="4" xr3:uid="{00000000-0010-0000-1E00-000004000000}" name="car"/>
    <tableColumn id="5" xr3:uid="{00000000-0010-0000-1E00-000005000000}" name="r_yd"/>
    <tableColumn id="6" xr3:uid="{00000000-0010-0000-1E00-000006000000}" name="r_td"/>
    <tableColumn id="7" xr3:uid="{00000000-0010-0000-1E00-000007000000}" name="p_ff"/>
    <tableColumn id="8" xr3:uid="{00000000-0010-0000-1E00-000008000000}" name="p_att"/>
    <tableColumn id="9" xr3:uid="{00000000-0010-0000-1E00-000009000000}" name="cmp_pct"/>
    <tableColumn id="10" xr3:uid="{00000000-0010-0000-1E00-00000A000000}" name="p_td"/>
    <tableColumn id="11" xr3:uid="{00000000-0010-0000-1E00-00000B000000}" name="int"/>
    <tableColumn id="12" xr3:uid="{00000000-0010-0000-1E00-00000C000000}" name="fmb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Table34" displayName="Table34" ref="A35:AB63" totalsRowShown="0">
  <autoFilter ref="A35:AB63" xr:uid="{00000000-0009-0000-0100-000022000000}"/>
  <tableColumns count="28">
    <tableColumn id="1" xr3:uid="{00000000-0010-0000-1F00-000001000000}" name="Name"/>
    <tableColumn id="2" xr3:uid="{00000000-0010-0000-1F00-000002000000}" name="POS"/>
    <tableColumn id="3" xr3:uid="{00000000-0010-0000-1F00-000003000000}" name="Age"/>
    <tableColumn id="4" xr3:uid="{00000000-0010-0000-1F00-000004000000}" name="Exp"/>
    <tableColumn id="5" xr3:uid="{00000000-0010-0000-1F00-000005000000}" name="College"/>
    <tableColumn id="6" xr3:uid="{00000000-0010-0000-1F00-000006000000}" name="team"/>
    <tableColumn id="7" xr3:uid="{00000000-0010-0000-1F00-000007000000}" name="g"/>
    <tableColumn id="8" xr3:uid="{00000000-0010-0000-1F00-000008000000}" name="p_att"/>
    <tableColumn id="9" xr3:uid="{00000000-0010-0000-1F00-000009000000}" name="cmp"/>
    <tableColumn id="10" xr3:uid="{00000000-0010-0000-1F00-00000A000000}" name="p_yd"/>
    <tableColumn id="11" xr3:uid="{00000000-0010-0000-1F00-00000B000000}" name="p_td"/>
    <tableColumn id="12" xr3:uid="{00000000-0010-0000-1F00-00000C000000}" name="int"/>
    <tableColumn id="13" xr3:uid="{00000000-0010-0000-1F00-00000D000000}" name="car"/>
    <tableColumn id="14" xr3:uid="{00000000-0010-0000-1F00-00000E000000}" name="r_yd"/>
    <tableColumn id="15" xr3:uid="{00000000-0010-0000-1F00-00000F000000}" name="r_td"/>
    <tableColumn id="16" xr3:uid="{00000000-0010-0000-1F00-000010000000}" name="tgt"/>
    <tableColumn id="17" xr3:uid="{00000000-0010-0000-1F00-000011000000}" name="rec"/>
    <tableColumn id="18" xr3:uid="{00000000-0010-0000-1F00-000012000000}" name="rec_yd"/>
    <tableColumn id="19" xr3:uid="{00000000-0010-0000-1F00-000013000000}" name="rec_td"/>
    <tableColumn id="20" xr3:uid="{00000000-0010-0000-1F00-000014000000}" name="fmb"/>
    <tableColumn id="21" xr3:uid="{00000000-0010-0000-1F00-000015000000}" name="tp_c"/>
    <tableColumn id="22" xr3:uid="{00000000-0010-0000-1F00-000016000000}" name="f_ppr"/>
    <tableColumn id="23" xr3:uid="{00000000-0010-0000-1F00-000017000000}" name="tgt_share"/>
    <tableColumn id="24" xr3:uid="{00000000-0010-0000-1F00-000018000000}" name="ypc"/>
    <tableColumn id="25" xr3:uid="{00000000-0010-0000-1F00-000019000000}" name="ypr"/>
    <tableColumn id="26" xr3:uid="{00000000-0010-0000-1F00-00001A000000}" name="cmp_pct"/>
    <tableColumn id="27" xr3:uid="{00000000-0010-0000-1F00-00001B000000}" name="td_rate"/>
    <tableColumn id="28" xr3:uid="{00000000-0010-0000-1F00-00001C000000}" name="f_custom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Table35" displayName="Table35" ref="A1:Y19" totalsRowShown="0">
  <autoFilter ref="A1:Y19" xr:uid="{00000000-0009-0000-0100-000023000000}"/>
  <tableColumns count="25">
    <tableColumn id="1" xr3:uid="{00000000-0010-0000-2000-000001000000}" name="player_name"/>
    <tableColumn id="2" xr3:uid="{00000000-0010-0000-2000-000002000000}" name="recent_team"/>
    <tableColumn id="3" xr3:uid="{00000000-0010-0000-2000-000003000000}" name="pos"/>
    <tableColumn id="4" xr3:uid="{00000000-0010-0000-2000-000004000000}" name="g"/>
    <tableColumn id="5" xr3:uid="{00000000-0010-0000-2000-000005000000}" name="p_att"/>
    <tableColumn id="6" xr3:uid="{00000000-0010-0000-2000-000006000000}" name="cmp"/>
    <tableColumn id="7" xr3:uid="{00000000-0010-0000-2000-000007000000}" name="p_yd"/>
    <tableColumn id="8" xr3:uid="{00000000-0010-0000-2000-000008000000}" name="p_td"/>
    <tableColumn id="9" xr3:uid="{00000000-0010-0000-2000-000009000000}" name="int"/>
    <tableColumn id="10" xr3:uid="{00000000-0010-0000-2000-00000A000000}" name="car"/>
    <tableColumn id="11" xr3:uid="{00000000-0010-0000-2000-00000B000000}" name="r_yd"/>
    <tableColumn id="12" xr3:uid="{00000000-0010-0000-2000-00000C000000}" name="r_td"/>
    <tableColumn id="13" xr3:uid="{00000000-0010-0000-2000-00000D000000}" name="tgt"/>
    <tableColumn id="14" xr3:uid="{00000000-0010-0000-2000-00000E000000}" name="rec"/>
    <tableColumn id="15" xr3:uid="{00000000-0010-0000-2000-00000F000000}" name="rec_yd"/>
    <tableColumn id="16" xr3:uid="{00000000-0010-0000-2000-000010000000}" name="rec_td"/>
    <tableColumn id="17" xr3:uid="{00000000-0010-0000-2000-000011000000}" name="fmb"/>
    <tableColumn id="18" xr3:uid="{00000000-0010-0000-2000-000012000000}" name="tp_c"/>
    <tableColumn id="19" xr3:uid="{00000000-0010-0000-2000-000013000000}" name="f_ppr"/>
    <tableColumn id="20" xr3:uid="{00000000-0010-0000-2000-000014000000}" name="tgt_share"/>
    <tableColumn id="21" xr3:uid="{00000000-0010-0000-2000-000015000000}" name="ypc"/>
    <tableColumn id="22" xr3:uid="{00000000-0010-0000-2000-000016000000}" name="ypr"/>
    <tableColumn id="23" xr3:uid="{00000000-0010-0000-2000-000017000000}" name="cmp_pct"/>
    <tableColumn id="24" xr3:uid="{00000000-0010-0000-2000-000018000000}" name="td_rate"/>
    <tableColumn id="25" xr3:uid="{00000000-0010-0000-2000-000019000000}" name="f_custom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Table36" displayName="Table36" ref="A30:L31" totalsRowShown="0">
  <autoFilter ref="A30:L31" xr:uid="{00000000-0009-0000-0100-000024000000}"/>
  <tableColumns count="12">
    <tableColumn id="1" xr3:uid="{00000000-0010-0000-2100-000001000000}" name="team"/>
    <tableColumn id="2" xr3:uid="{00000000-0010-0000-2100-000002000000}" name="off_yd"/>
    <tableColumn id="3" xr3:uid="{00000000-0010-0000-2100-000003000000}" name="p_yd"/>
    <tableColumn id="4" xr3:uid="{00000000-0010-0000-2100-000004000000}" name="car"/>
    <tableColumn id="5" xr3:uid="{00000000-0010-0000-2100-000005000000}" name="r_yd"/>
    <tableColumn id="6" xr3:uid="{00000000-0010-0000-2100-000006000000}" name="r_td"/>
    <tableColumn id="7" xr3:uid="{00000000-0010-0000-2100-000007000000}" name="p_ff"/>
    <tableColumn id="8" xr3:uid="{00000000-0010-0000-2100-000008000000}" name="p_att"/>
    <tableColumn id="9" xr3:uid="{00000000-0010-0000-2100-000009000000}" name="cmp_pct"/>
    <tableColumn id="10" xr3:uid="{00000000-0010-0000-2100-00000A000000}" name="p_td"/>
    <tableColumn id="11" xr3:uid="{00000000-0010-0000-2100-00000B000000}" name="int"/>
    <tableColumn id="12" xr3:uid="{00000000-0010-0000-2100-00000C000000}" name="fmb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Table37" displayName="Table37" ref="A32:L33" totalsRowShown="0">
  <autoFilter ref="A32:L33" xr:uid="{00000000-0009-0000-0100-000025000000}"/>
  <tableColumns count="12">
    <tableColumn id="1" xr3:uid="{00000000-0010-0000-2200-000001000000}" name="team"/>
    <tableColumn id="2" xr3:uid="{00000000-0010-0000-2200-000002000000}" name="off_yd"/>
    <tableColumn id="3" xr3:uid="{00000000-0010-0000-2200-000003000000}" name="p_yd"/>
    <tableColumn id="4" xr3:uid="{00000000-0010-0000-2200-000004000000}" name="car"/>
    <tableColumn id="5" xr3:uid="{00000000-0010-0000-2200-000005000000}" name="r_yd"/>
    <tableColumn id="6" xr3:uid="{00000000-0010-0000-2200-000006000000}" name="r_td"/>
    <tableColumn id="7" xr3:uid="{00000000-0010-0000-2200-000007000000}" name="p_ff"/>
    <tableColumn id="8" xr3:uid="{00000000-0010-0000-2200-000008000000}" name="p_att"/>
    <tableColumn id="9" xr3:uid="{00000000-0010-0000-2200-000009000000}" name="cmp_pct"/>
    <tableColumn id="10" xr3:uid="{00000000-0010-0000-2200-00000A000000}" name="p_td"/>
    <tableColumn id="11" xr3:uid="{00000000-0010-0000-2200-00000B000000}" name="int"/>
    <tableColumn id="12" xr3:uid="{00000000-0010-0000-2200-00000C000000}" name="fmb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Table38" displayName="Table38" ref="A35:AB64" totalsRowShown="0">
  <autoFilter ref="A35:AB64" xr:uid="{00000000-0009-0000-0100-000026000000}"/>
  <tableColumns count="28">
    <tableColumn id="1" xr3:uid="{00000000-0010-0000-2300-000001000000}" name="Name"/>
    <tableColumn id="2" xr3:uid="{00000000-0010-0000-2300-000002000000}" name="POS"/>
    <tableColumn id="3" xr3:uid="{00000000-0010-0000-2300-000003000000}" name="Age"/>
    <tableColumn id="4" xr3:uid="{00000000-0010-0000-2300-000004000000}" name="Exp"/>
    <tableColumn id="5" xr3:uid="{00000000-0010-0000-2300-000005000000}" name="College"/>
    <tableColumn id="6" xr3:uid="{00000000-0010-0000-2300-000006000000}" name="team"/>
    <tableColumn id="7" xr3:uid="{00000000-0010-0000-2300-000007000000}" name="g"/>
    <tableColumn id="8" xr3:uid="{00000000-0010-0000-2300-000008000000}" name="p_att"/>
    <tableColumn id="9" xr3:uid="{00000000-0010-0000-2300-000009000000}" name="cmp"/>
    <tableColumn id="10" xr3:uid="{00000000-0010-0000-2300-00000A000000}" name="p_yd"/>
    <tableColumn id="11" xr3:uid="{00000000-0010-0000-2300-00000B000000}" name="p_td"/>
    <tableColumn id="12" xr3:uid="{00000000-0010-0000-2300-00000C000000}" name="int"/>
    <tableColumn id="13" xr3:uid="{00000000-0010-0000-2300-00000D000000}" name="car"/>
    <tableColumn id="14" xr3:uid="{00000000-0010-0000-2300-00000E000000}" name="r_yd"/>
    <tableColumn id="15" xr3:uid="{00000000-0010-0000-2300-00000F000000}" name="r_td"/>
    <tableColumn id="16" xr3:uid="{00000000-0010-0000-2300-000010000000}" name="tgt"/>
    <tableColumn id="17" xr3:uid="{00000000-0010-0000-2300-000011000000}" name="rec"/>
    <tableColumn id="18" xr3:uid="{00000000-0010-0000-2300-000012000000}" name="rec_yd"/>
    <tableColumn id="19" xr3:uid="{00000000-0010-0000-2300-000013000000}" name="rec_td"/>
    <tableColumn id="20" xr3:uid="{00000000-0010-0000-2300-000014000000}" name="fmb"/>
    <tableColumn id="21" xr3:uid="{00000000-0010-0000-2300-000015000000}" name="tp_c"/>
    <tableColumn id="22" xr3:uid="{00000000-0010-0000-2300-000016000000}" name="f_ppr"/>
    <tableColumn id="23" xr3:uid="{00000000-0010-0000-2300-000017000000}" name="tgt_share"/>
    <tableColumn id="24" xr3:uid="{00000000-0010-0000-2300-000018000000}" name="ypc"/>
    <tableColumn id="25" xr3:uid="{00000000-0010-0000-2300-000019000000}" name="ypr"/>
    <tableColumn id="26" xr3:uid="{00000000-0010-0000-2300-00001A000000}" name="cmp_pct"/>
    <tableColumn id="27" xr3:uid="{00000000-0010-0000-2300-00001B000000}" name="td_rate"/>
    <tableColumn id="28" xr3:uid="{00000000-0010-0000-2300-00001C000000}" name="f_custom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Table39" displayName="Table39" ref="A1:Y25" totalsRowShown="0">
  <autoFilter ref="A1:Y25" xr:uid="{00000000-0009-0000-0100-000027000000}"/>
  <tableColumns count="25">
    <tableColumn id="1" xr3:uid="{00000000-0010-0000-2400-000001000000}" name="player_name"/>
    <tableColumn id="2" xr3:uid="{00000000-0010-0000-2400-000002000000}" name="recent_team"/>
    <tableColumn id="3" xr3:uid="{00000000-0010-0000-2400-000003000000}" name="pos"/>
    <tableColumn id="4" xr3:uid="{00000000-0010-0000-2400-000004000000}" name="g"/>
    <tableColumn id="5" xr3:uid="{00000000-0010-0000-2400-000005000000}" name="p_att"/>
    <tableColumn id="6" xr3:uid="{00000000-0010-0000-2400-000006000000}" name="cmp"/>
    <tableColumn id="7" xr3:uid="{00000000-0010-0000-2400-000007000000}" name="p_yd"/>
    <tableColumn id="8" xr3:uid="{00000000-0010-0000-2400-000008000000}" name="p_td"/>
    <tableColumn id="9" xr3:uid="{00000000-0010-0000-2400-000009000000}" name="int"/>
    <tableColumn id="10" xr3:uid="{00000000-0010-0000-2400-00000A000000}" name="car"/>
    <tableColumn id="11" xr3:uid="{00000000-0010-0000-2400-00000B000000}" name="r_yd"/>
    <tableColumn id="12" xr3:uid="{00000000-0010-0000-2400-00000C000000}" name="r_td"/>
    <tableColumn id="13" xr3:uid="{00000000-0010-0000-2400-00000D000000}" name="tgt"/>
    <tableColumn id="14" xr3:uid="{00000000-0010-0000-2400-00000E000000}" name="rec"/>
    <tableColumn id="15" xr3:uid="{00000000-0010-0000-2400-00000F000000}" name="rec_yd"/>
    <tableColumn id="16" xr3:uid="{00000000-0010-0000-2400-000010000000}" name="rec_td"/>
    <tableColumn id="17" xr3:uid="{00000000-0010-0000-2400-000011000000}" name="fmb"/>
    <tableColumn id="18" xr3:uid="{00000000-0010-0000-2400-000012000000}" name="tp_c"/>
    <tableColumn id="19" xr3:uid="{00000000-0010-0000-2400-000013000000}" name="f_ppr"/>
    <tableColumn id="20" xr3:uid="{00000000-0010-0000-2400-000014000000}" name="tgt_share"/>
    <tableColumn id="21" xr3:uid="{00000000-0010-0000-2400-000015000000}" name="ypc"/>
    <tableColumn id="22" xr3:uid="{00000000-0010-0000-2400-000016000000}" name="ypr"/>
    <tableColumn id="23" xr3:uid="{00000000-0010-0000-2400-000017000000}" name="cmp_pct"/>
    <tableColumn id="24" xr3:uid="{00000000-0010-0000-2400-000018000000}" name="td_rate"/>
    <tableColumn id="25" xr3:uid="{00000000-0010-0000-2400-000019000000}" name="f_custom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Table40" displayName="Table40" ref="A30:L31" totalsRowShown="0">
  <autoFilter ref="A30:L31" xr:uid="{00000000-0009-0000-0100-000028000000}"/>
  <tableColumns count="12">
    <tableColumn id="1" xr3:uid="{00000000-0010-0000-2500-000001000000}" name="team"/>
    <tableColumn id="2" xr3:uid="{00000000-0010-0000-2500-000002000000}" name="off_yd"/>
    <tableColumn id="3" xr3:uid="{00000000-0010-0000-2500-000003000000}" name="p_yd"/>
    <tableColumn id="4" xr3:uid="{00000000-0010-0000-2500-000004000000}" name="car"/>
    <tableColumn id="5" xr3:uid="{00000000-0010-0000-2500-000005000000}" name="r_yd"/>
    <tableColumn id="6" xr3:uid="{00000000-0010-0000-2500-000006000000}" name="r_td"/>
    <tableColumn id="7" xr3:uid="{00000000-0010-0000-2500-000007000000}" name="p_ff"/>
    <tableColumn id="8" xr3:uid="{00000000-0010-0000-2500-000008000000}" name="p_att"/>
    <tableColumn id="9" xr3:uid="{00000000-0010-0000-2500-000009000000}" name="cmp_pct"/>
    <tableColumn id="10" xr3:uid="{00000000-0010-0000-2500-00000A000000}" name="p_td"/>
    <tableColumn id="11" xr3:uid="{00000000-0010-0000-2500-00000B000000}" name="int"/>
    <tableColumn id="12" xr3:uid="{00000000-0010-0000-2500-00000C000000}" name="fmb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Table41" displayName="Table41" ref="A32:L33" totalsRowShown="0">
  <autoFilter ref="A32:L33" xr:uid="{00000000-0009-0000-0100-000029000000}"/>
  <tableColumns count="12">
    <tableColumn id="1" xr3:uid="{00000000-0010-0000-2600-000001000000}" name="team"/>
    <tableColumn id="2" xr3:uid="{00000000-0010-0000-2600-000002000000}" name="off_yd"/>
    <tableColumn id="3" xr3:uid="{00000000-0010-0000-2600-000003000000}" name="p_yd"/>
    <tableColumn id="4" xr3:uid="{00000000-0010-0000-2600-000004000000}" name="car"/>
    <tableColumn id="5" xr3:uid="{00000000-0010-0000-2600-000005000000}" name="r_yd"/>
    <tableColumn id="6" xr3:uid="{00000000-0010-0000-2600-000006000000}" name="r_td"/>
    <tableColumn id="7" xr3:uid="{00000000-0010-0000-2600-000007000000}" name="p_ff"/>
    <tableColumn id="8" xr3:uid="{00000000-0010-0000-2600-000008000000}" name="p_att"/>
    <tableColumn id="9" xr3:uid="{00000000-0010-0000-2600-000009000000}" name="cmp_pct"/>
    <tableColumn id="10" xr3:uid="{00000000-0010-0000-2600-00000A000000}" name="p_td"/>
    <tableColumn id="11" xr3:uid="{00000000-0010-0000-2600-00000B000000}" name="int"/>
    <tableColumn id="12" xr3:uid="{00000000-0010-0000-2600-00000C000000}" name="fmb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Table42" displayName="Table42" ref="A35:AB62" totalsRowShown="0">
  <autoFilter ref="A35:AB62" xr:uid="{00000000-0009-0000-0100-00002A000000}"/>
  <tableColumns count="28">
    <tableColumn id="1" xr3:uid="{00000000-0010-0000-2700-000001000000}" name="Name"/>
    <tableColumn id="2" xr3:uid="{00000000-0010-0000-2700-000002000000}" name="POS"/>
    <tableColumn id="3" xr3:uid="{00000000-0010-0000-2700-000003000000}" name="Age"/>
    <tableColumn id="4" xr3:uid="{00000000-0010-0000-2700-000004000000}" name="Exp"/>
    <tableColumn id="5" xr3:uid="{00000000-0010-0000-2700-000005000000}" name="College"/>
    <tableColumn id="6" xr3:uid="{00000000-0010-0000-2700-000006000000}" name="team"/>
    <tableColumn id="7" xr3:uid="{00000000-0010-0000-2700-000007000000}" name="g"/>
    <tableColumn id="8" xr3:uid="{00000000-0010-0000-2700-000008000000}" name="p_att"/>
    <tableColumn id="9" xr3:uid="{00000000-0010-0000-2700-000009000000}" name="cmp"/>
    <tableColumn id="10" xr3:uid="{00000000-0010-0000-2700-00000A000000}" name="p_yd"/>
    <tableColumn id="11" xr3:uid="{00000000-0010-0000-2700-00000B000000}" name="p_td"/>
    <tableColumn id="12" xr3:uid="{00000000-0010-0000-2700-00000C000000}" name="int"/>
    <tableColumn id="13" xr3:uid="{00000000-0010-0000-2700-00000D000000}" name="car"/>
    <tableColumn id="14" xr3:uid="{00000000-0010-0000-2700-00000E000000}" name="r_yd"/>
    <tableColumn id="15" xr3:uid="{00000000-0010-0000-2700-00000F000000}" name="r_td"/>
    <tableColumn id="16" xr3:uid="{00000000-0010-0000-2700-000010000000}" name="tgt"/>
    <tableColumn id="17" xr3:uid="{00000000-0010-0000-2700-000011000000}" name="rec"/>
    <tableColumn id="18" xr3:uid="{00000000-0010-0000-2700-000012000000}" name="rec_yd"/>
    <tableColumn id="19" xr3:uid="{00000000-0010-0000-2700-000013000000}" name="rec_td"/>
    <tableColumn id="20" xr3:uid="{00000000-0010-0000-2700-000014000000}" name="fmb"/>
    <tableColumn id="21" xr3:uid="{00000000-0010-0000-2700-000015000000}" name="tp_c"/>
    <tableColumn id="22" xr3:uid="{00000000-0010-0000-2700-000016000000}" name="f_ppr"/>
    <tableColumn id="23" xr3:uid="{00000000-0010-0000-2700-000017000000}" name="tgt_share"/>
    <tableColumn id="24" xr3:uid="{00000000-0010-0000-2700-000018000000}" name="ypc"/>
    <tableColumn id="25" xr3:uid="{00000000-0010-0000-2700-000019000000}" name="ypr"/>
    <tableColumn id="26" xr3:uid="{00000000-0010-0000-2700-00001A000000}" name="cmp_pct"/>
    <tableColumn id="27" xr3:uid="{00000000-0010-0000-2700-00001B000000}" name="td_rate"/>
    <tableColumn id="28" xr3:uid="{00000000-0010-0000-2700-00001C000000}" name="f_custom"/>
  </tableColumns>
  <tableStyleInfo name="TableStyleLight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Table43" displayName="Table43" ref="A1:Y20" totalsRowShown="0">
  <autoFilter ref="A1:Y20" xr:uid="{00000000-0009-0000-0100-00002B000000}"/>
  <tableColumns count="25">
    <tableColumn id="1" xr3:uid="{00000000-0010-0000-2800-000001000000}" name="player_name"/>
    <tableColumn id="2" xr3:uid="{00000000-0010-0000-2800-000002000000}" name="recent_team"/>
    <tableColumn id="3" xr3:uid="{00000000-0010-0000-2800-000003000000}" name="pos"/>
    <tableColumn id="4" xr3:uid="{00000000-0010-0000-2800-000004000000}" name="g"/>
    <tableColumn id="5" xr3:uid="{00000000-0010-0000-2800-000005000000}" name="p_att"/>
    <tableColumn id="6" xr3:uid="{00000000-0010-0000-2800-000006000000}" name="cmp"/>
    <tableColumn id="7" xr3:uid="{00000000-0010-0000-2800-000007000000}" name="p_yd"/>
    <tableColumn id="8" xr3:uid="{00000000-0010-0000-2800-000008000000}" name="p_td"/>
    <tableColumn id="9" xr3:uid="{00000000-0010-0000-2800-000009000000}" name="int"/>
    <tableColumn id="10" xr3:uid="{00000000-0010-0000-2800-00000A000000}" name="car"/>
    <tableColumn id="11" xr3:uid="{00000000-0010-0000-2800-00000B000000}" name="r_yd"/>
    <tableColumn id="12" xr3:uid="{00000000-0010-0000-2800-00000C000000}" name="r_td"/>
    <tableColumn id="13" xr3:uid="{00000000-0010-0000-2800-00000D000000}" name="tgt"/>
    <tableColumn id="14" xr3:uid="{00000000-0010-0000-2800-00000E000000}" name="rec"/>
    <tableColumn id="15" xr3:uid="{00000000-0010-0000-2800-00000F000000}" name="rec_yd"/>
    <tableColumn id="16" xr3:uid="{00000000-0010-0000-2800-000010000000}" name="rec_td"/>
    <tableColumn id="17" xr3:uid="{00000000-0010-0000-2800-000011000000}" name="fmb"/>
    <tableColumn id="18" xr3:uid="{00000000-0010-0000-2800-000012000000}" name="tp_c"/>
    <tableColumn id="19" xr3:uid="{00000000-0010-0000-2800-000013000000}" name="f_ppr"/>
    <tableColumn id="20" xr3:uid="{00000000-0010-0000-2800-000014000000}" name="tgt_share"/>
    <tableColumn id="21" xr3:uid="{00000000-0010-0000-2800-000015000000}" name="ypc"/>
    <tableColumn id="22" xr3:uid="{00000000-0010-0000-2800-000016000000}" name="ypr"/>
    <tableColumn id="23" xr3:uid="{00000000-0010-0000-2800-000017000000}" name="cmp_pct"/>
    <tableColumn id="24" xr3:uid="{00000000-0010-0000-2800-000018000000}" name="td_rate"/>
    <tableColumn id="25" xr3:uid="{00000000-0010-0000-2800-000019000000}" name="f_custom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Table44" displayName="Table44" ref="A30:L31" totalsRowShown="0">
  <autoFilter ref="A30:L31" xr:uid="{00000000-0009-0000-0100-00002C000000}"/>
  <tableColumns count="12">
    <tableColumn id="1" xr3:uid="{00000000-0010-0000-2900-000001000000}" name="team"/>
    <tableColumn id="2" xr3:uid="{00000000-0010-0000-2900-000002000000}" name="off_yd"/>
    <tableColumn id="3" xr3:uid="{00000000-0010-0000-2900-000003000000}" name="p_yd"/>
    <tableColumn id="4" xr3:uid="{00000000-0010-0000-2900-000004000000}" name="car"/>
    <tableColumn id="5" xr3:uid="{00000000-0010-0000-2900-000005000000}" name="r_yd"/>
    <tableColumn id="6" xr3:uid="{00000000-0010-0000-2900-000006000000}" name="r_td"/>
    <tableColumn id="7" xr3:uid="{00000000-0010-0000-2900-000007000000}" name="p_ff"/>
    <tableColumn id="8" xr3:uid="{00000000-0010-0000-2900-000008000000}" name="p_att"/>
    <tableColumn id="9" xr3:uid="{00000000-0010-0000-2900-000009000000}" name="cmp_pct"/>
    <tableColumn id="10" xr3:uid="{00000000-0010-0000-2900-00000A000000}" name="p_td"/>
    <tableColumn id="11" xr3:uid="{00000000-0010-0000-2900-00000B000000}" name="int"/>
    <tableColumn id="12" xr3:uid="{00000000-0010-0000-2900-00000C000000}" name="fmb"/>
  </tableColumns>
  <tableStyleInfo name="TableStyleLight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Table45" displayName="Table45" ref="A32:L33" totalsRowShown="0">
  <autoFilter ref="A32:L33" xr:uid="{00000000-0009-0000-0100-00002D000000}"/>
  <tableColumns count="12">
    <tableColumn id="1" xr3:uid="{00000000-0010-0000-2A00-000001000000}" name="team"/>
    <tableColumn id="2" xr3:uid="{00000000-0010-0000-2A00-000002000000}" name="off_yd"/>
    <tableColumn id="3" xr3:uid="{00000000-0010-0000-2A00-000003000000}" name="p_yd"/>
    <tableColumn id="4" xr3:uid="{00000000-0010-0000-2A00-000004000000}" name="car"/>
    <tableColumn id="5" xr3:uid="{00000000-0010-0000-2A00-000005000000}" name="r_yd"/>
    <tableColumn id="6" xr3:uid="{00000000-0010-0000-2A00-000006000000}" name="r_td"/>
    <tableColumn id="7" xr3:uid="{00000000-0010-0000-2A00-000007000000}" name="p_ff"/>
    <tableColumn id="8" xr3:uid="{00000000-0010-0000-2A00-000008000000}" name="p_att"/>
    <tableColumn id="9" xr3:uid="{00000000-0010-0000-2A00-000009000000}" name="cmp_pct"/>
    <tableColumn id="10" xr3:uid="{00000000-0010-0000-2A00-00000A000000}" name="p_td"/>
    <tableColumn id="11" xr3:uid="{00000000-0010-0000-2A00-00000B000000}" name="int"/>
    <tableColumn id="12" xr3:uid="{00000000-0010-0000-2A00-00000C000000}" name="fmb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Table46" displayName="Table46" ref="A35:AB61" totalsRowShown="0">
  <autoFilter ref="A35:AB61" xr:uid="{00000000-0009-0000-0100-00002E000000}"/>
  <tableColumns count="28">
    <tableColumn id="1" xr3:uid="{00000000-0010-0000-2B00-000001000000}" name="Name"/>
    <tableColumn id="2" xr3:uid="{00000000-0010-0000-2B00-000002000000}" name="POS"/>
    <tableColumn id="3" xr3:uid="{00000000-0010-0000-2B00-000003000000}" name="Age"/>
    <tableColumn id="4" xr3:uid="{00000000-0010-0000-2B00-000004000000}" name="Exp"/>
    <tableColumn id="5" xr3:uid="{00000000-0010-0000-2B00-000005000000}" name="College"/>
    <tableColumn id="6" xr3:uid="{00000000-0010-0000-2B00-000006000000}" name="team"/>
    <tableColumn id="7" xr3:uid="{00000000-0010-0000-2B00-000007000000}" name="g"/>
    <tableColumn id="8" xr3:uid="{00000000-0010-0000-2B00-000008000000}" name="p_att"/>
    <tableColumn id="9" xr3:uid="{00000000-0010-0000-2B00-000009000000}" name="cmp"/>
    <tableColumn id="10" xr3:uid="{00000000-0010-0000-2B00-00000A000000}" name="p_yd"/>
    <tableColumn id="11" xr3:uid="{00000000-0010-0000-2B00-00000B000000}" name="p_td"/>
    <tableColumn id="12" xr3:uid="{00000000-0010-0000-2B00-00000C000000}" name="int"/>
    <tableColumn id="13" xr3:uid="{00000000-0010-0000-2B00-00000D000000}" name="car"/>
    <tableColumn id="14" xr3:uid="{00000000-0010-0000-2B00-00000E000000}" name="r_yd"/>
    <tableColumn id="15" xr3:uid="{00000000-0010-0000-2B00-00000F000000}" name="r_td"/>
    <tableColumn id="16" xr3:uid="{00000000-0010-0000-2B00-000010000000}" name="tgt"/>
    <tableColumn id="17" xr3:uid="{00000000-0010-0000-2B00-000011000000}" name="rec"/>
    <tableColumn id="18" xr3:uid="{00000000-0010-0000-2B00-000012000000}" name="rec_yd"/>
    <tableColumn id="19" xr3:uid="{00000000-0010-0000-2B00-000013000000}" name="rec_td"/>
    <tableColumn id="20" xr3:uid="{00000000-0010-0000-2B00-000014000000}" name="fmb"/>
    <tableColumn id="21" xr3:uid="{00000000-0010-0000-2B00-000015000000}" name="tp_c"/>
    <tableColumn id="22" xr3:uid="{00000000-0010-0000-2B00-000016000000}" name="f_ppr"/>
    <tableColumn id="23" xr3:uid="{00000000-0010-0000-2B00-000017000000}" name="tgt_share"/>
    <tableColumn id="24" xr3:uid="{00000000-0010-0000-2B00-000018000000}" name="ypc"/>
    <tableColumn id="25" xr3:uid="{00000000-0010-0000-2B00-000019000000}" name="ypr"/>
    <tableColumn id="26" xr3:uid="{00000000-0010-0000-2B00-00001A000000}" name="cmp_pct"/>
    <tableColumn id="27" xr3:uid="{00000000-0010-0000-2B00-00001B000000}" name="td_rate"/>
    <tableColumn id="28" xr3:uid="{00000000-0010-0000-2B00-00001C000000}" name="f_custom"/>
  </tableColumns>
  <tableStyleInfo name="TableStyleLight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Table47" displayName="Table47" ref="A1:Y19" totalsRowShown="0">
  <autoFilter ref="A1:Y19" xr:uid="{00000000-0009-0000-0100-00002F000000}"/>
  <tableColumns count="25">
    <tableColumn id="1" xr3:uid="{00000000-0010-0000-2C00-000001000000}" name="player_name"/>
    <tableColumn id="2" xr3:uid="{00000000-0010-0000-2C00-000002000000}" name="recent_team"/>
    <tableColumn id="3" xr3:uid="{00000000-0010-0000-2C00-000003000000}" name="pos"/>
    <tableColumn id="4" xr3:uid="{00000000-0010-0000-2C00-000004000000}" name="g"/>
    <tableColumn id="5" xr3:uid="{00000000-0010-0000-2C00-000005000000}" name="p_att"/>
    <tableColumn id="6" xr3:uid="{00000000-0010-0000-2C00-000006000000}" name="cmp"/>
    <tableColumn id="7" xr3:uid="{00000000-0010-0000-2C00-000007000000}" name="p_yd"/>
    <tableColumn id="8" xr3:uid="{00000000-0010-0000-2C00-000008000000}" name="p_td"/>
    <tableColumn id="9" xr3:uid="{00000000-0010-0000-2C00-000009000000}" name="int"/>
    <tableColumn id="10" xr3:uid="{00000000-0010-0000-2C00-00000A000000}" name="car"/>
    <tableColumn id="11" xr3:uid="{00000000-0010-0000-2C00-00000B000000}" name="r_yd"/>
    <tableColumn id="12" xr3:uid="{00000000-0010-0000-2C00-00000C000000}" name="r_td"/>
    <tableColumn id="13" xr3:uid="{00000000-0010-0000-2C00-00000D000000}" name="tgt"/>
    <tableColumn id="14" xr3:uid="{00000000-0010-0000-2C00-00000E000000}" name="rec"/>
    <tableColumn id="15" xr3:uid="{00000000-0010-0000-2C00-00000F000000}" name="rec_yd"/>
    <tableColumn id="16" xr3:uid="{00000000-0010-0000-2C00-000010000000}" name="rec_td"/>
    <tableColumn id="17" xr3:uid="{00000000-0010-0000-2C00-000011000000}" name="fmb"/>
    <tableColumn id="18" xr3:uid="{00000000-0010-0000-2C00-000012000000}" name="tp_c"/>
    <tableColumn id="19" xr3:uid="{00000000-0010-0000-2C00-000013000000}" name="f_ppr"/>
    <tableColumn id="20" xr3:uid="{00000000-0010-0000-2C00-000014000000}" name="tgt_share"/>
    <tableColumn id="21" xr3:uid="{00000000-0010-0000-2C00-000015000000}" name="ypc"/>
    <tableColumn id="22" xr3:uid="{00000000-0010-0000-2C00-000016000000}" name="ypr"/>
    <tableColumn id="23" xr3:uid="{00000000-0010-0000-2C00-000017000000}" name="cmp_pct"/>
    <tableColumn id="24" xr3:uid="{00000000-0010-0000-2C00-000018000000}" name="td_rate"/>
    <tableColumn id="25" xr3:uid="{00000000-0010-0000-2C00-000019000000}" name="f_custom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Table48" displayName="Table48" ref="A30:L31" totalsRowShown="0">
  <autoFilter ref="A30:L31" xr:uid="{00000000-0009-0000-0100-000030000000}"/>
  <tableColumns count="12">
    <tableColumn id="1" xr3:uid="{00000000-0010-0000-2D00-000001000000}" name="team"/>
    <tableColumn id="2" xr3:uid="{00000000-0010-0000-2D00-000002000000}" name="off_yd"/>
    <tableColumn id="3" xr3:uid="{00000000-0010-0000-2D00-000003000000}" name="p_yd"/>
    <tableColumn id="4" xr3:uid="{00000000-0010-0000-2D00-000004000000}" name="car"/>
    <tableColumn id="5" xr3:uid="{00000000-0010-0000-2D00-000005000000}" name="r_yd"/>
    <tableColumn id="6" xr3:uid="{00000000-0010-0000-2D00-000006000000}" name="r_td"/>
    <tableColumn id="7" xr3:uid="{00000000-0010-0000-2D00-000007000000}" name="p_ff"/>
    <tableColumn id="8" xr3:uid="{00000000-0010-0000-2D00-000008000000}" name="p_att"/>
    <tableColumn id="9" xr3:uid="{00000000-0010-0000-2D00-000009000000}" name="cmp_pct"/>
    <tableColumn id="10" xr3:uid="{00000000-0010-0000-2D00-00000A000000}" name="p_td"/>
    <tableColumn id="11" xr3:uid="{00000000-0010-0000-2D00-00000B000000}" name="int"/>
    <tableColumn id="12" xr3:uid="{00000000-0010-0000-2D00-00000C000000}" name="fmb"/>
  </tableColumns>
  <tableStyleInfo name="TableStyleLight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Table49" displayName="Table49" ref="A32:L33" totalsRowShown="0">
  <autoFilter ref="A32:L33" xr:uid="{00000000-0009-0000-0100-000031000000}"/>
  <tableColumns count="12">
    <tableColumn id="1" xr3:uid="{00000000-0010-0000-2E00-000001000000}" name="team"/>
    <tableColumn id="2" xr3:uid="{00000000-0010-0000-2E00-000002000000}" name="off_yd"/>
    <tableColumn id="3" xr3:uid="{00000000-0010-0000-2E00-000003000000}" name="p_yd"/>
    <tableColumn id="4" xr3:uid="{00000000-0010-0000-2E00-000004000000}" name="car"/>
    <tableColumn id="5" xr3:uid="{00000000-0010-0000-2E00-000005000000}" name="r_yd"/>
    <tableColumn id="6" xr3:uid="{00000000-0010-0000-2E00-000006000000}" name="r_td"/>
    <tableColumn id="7" xr3:uid="{00000000-0010-0000-2E00-000007000000}" name="p_ff"/>
    <tableColumn id="8" xr3:uid="{00000000-0010-0000-2E00-000008000000}" name="p_att"/>
    <tableColumn id="9" xr3:uid="{00000000-0010-0000-2E00-000009000000}" name="cmp_pct"/>
    <tableColumn id="10" xr3:uid="{00000000-0010-0000-2E00-00000A000000}" name="p_td"/>
    <tableColumn id="11" xr3:uid="{00000000-0010-0000-2E00-00000B000000}" name="int"/>
    <tableColumn id="12" xr3:uid="{00000000-0010-0000-2E00-00000C000000}" name="fmb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Table50" displayName="Table50" ref="A35:AB61" totalsRowShown="0">
  <autoFilter ref="A35:AB61" xr:uid="{00000000-0009-0000-0100-000032000000}"/>
  <tableColumns count="28">
    <tableColumn id="1" xr3:uid="{00000000-0010-0000-2F00-000001000000}" name="Name"/>
    <tableColumn id="2" xr3:uid="{00000000-0010-0000-2F00-000002000000}" name="POS"/>
    <tableColumn id="3" xr3:uid="{00000000-0010-0000-2F00-000003000000}" name="Age"/>
    <tableColumn id="4" xr3:uid="{00000000-0010-0000-2F00-000004000000}" name="Exp"/>
    <tableColumn id="5" xr3:uid="{00000000-0010-0000-2F00-000005000000}" name="College"/>
    <tableColumn id="6" xr3:uid="{00000000-0010-0000-2F00-000006000000}" name="team"/>
    <tableColumn id="7" xr3:uid="{00000000-0010-0000-2F00-000007000000}" name="g"/>
    <tableColumn id="8" xr3:uid="{00000000-0010-0000-2F00-000008000000}" name="p_att"/>
    <tableColumn id="9" xr3:uid="{00000000-0010-0000-2F00-000009000000}" name="cmp"/>
    <tableColumn id="10" xr3:uid="{00000000-0010-0000-2F00-00000A000000}" name="p_yd"/>
    <tableColumn id="11" xr3:uid="{00000000-0010-0000-2F00-00000B000000}" name="p_td"/>
    <tableColumn id="12" xr3:uid="{00000000-0010-0000-2F00-00000C000000}" name="int"/>
    <tableColumn id="13" xr3:uid="{00000000-0010-0000-2F00-00000D000000}" name="car"/>
    <tableColumn id="14" xr3:uid="{00000000-0010-0000-2F00-00000E000000}" name="r_yd"/>
    <tableColumn id="15" xr3:uid="{00000000-0010-0000-2F00-00000F000000}" name="r_td"/>
    <tableColumn id="16" xr3:uid="{00000000-0010-0000-2F00-000010000000}" name="tgt"/>
    <tableColumn id="17" xr3:uid="{00000000-0010-0000-2F00-000011000000}" name="rec"/>
    <tableColumn id="18" xr3:uid="{00000000-0010-0000-2F00-000012000000}" name="rec_yd"/>
    <tableColumn id="19" xr3:uid="{00000000-0010-0000-2F00-000013000000}" name="rec_td"/>
    <tableColumn id="20" xr3:uid="{00000000-0010-0000-2F00-000014000000}" name="fmb"/>
    <tableColumn id="21" xr3:uid="{00000000-0010-0000-2F00-000015000000}" name="tp_c"/>
    <tableColumn id="22" xr3:uid="{00000000-0010-0000-2F00-000016000000}" name="f_ppr"/>
    <tableColumn id="23" xr3:uid="{00000000-0010-0000-2F00-000017000000}" name="tgt_share"/>
    <tableColumn id="24" xr3:uid="{00000000-0010-0000-2F00-000018000000}" name="ypc"/>
    <tableColumn id="25" xr3:uid="{00000000-0010-0000-2F00-000019000000}" name="ypr"/>
    <tableColumn id="26" xr3:uid="{00000000-0010-0000-2F00-00001A000000}" name="cmp_pct"/>
    <tableColumn id="27" xr3:uid="{00000000-0010-0000-2F00-00001B000000}" name="td_rate"/>
    <tableColumn id="28" xr3:uid="{00000000-0010-0000-2F00-00001C000000}" name="f_custom"/>
  </tableColumns>
  <tableStyleInfo name="TableStyleLight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Table51" displayName="Table51" ref="A1:Y24" totalsRowShown="0">
  <autoFilter ref="A1:Y24" xr:uid="{00000000-0009-0000-0100-000033000000}"/>
  <tableColumns count="25">
    <tableColumn id="1" xr3:uid="{00000000-0010-0000-3000-000001000000}" name="player_name"/>
    <tableColumn id="2" xr3:uid="{00000000-0010-0000-3000-000002000000}" name="recent_team"/>
    <tableColumn id="3" xr3:uid="{00000000-0010-0000-3000-000003000000}" name="pos"/>
    <tableColumn id="4" xr3:uid="{00000000-0010-0000-3000-000004000000}" name="g"/>
    <tableColumn id="5" xr3:uid="{00000000-0010-0000-3000-000005000000}" name="p_att"/>
    <tableColumn id="6" xr3:uid="{00000000-0010-0000-3000-000006000000}" name="cmp"/>
    <tableColumn id="7" xr3:uid="{00000000-0010-0000-3000-000007000000}" name="p_yd"/>
    <tableColumn id="8" xr3:uid="{00000000-0010-0000-3000-000008000000}" name="p_td"/>
    <tableColumn id="9" xr3:uid="{00000000-0010-0000-3000-000009000000}" name="int"/>
    <tableColumn id="10" xr3:uid="{00000000-0010-0000-3000-00000A000000}" name="car"/>
    <tableColumn id="11" xr3:uid="{00000000-0010-0000-3000-00000B000000}" name="r_yd"/>
    <tableColumn id="12" xr3:uid="{00000000-0010-0000-3000-00000C000000}" name="r_td"/>
    <tableColumn id="13" xr3:uid="{00000000-0010-0000-3000-00000D000000}" name="tgt"/>
    <tableColumn id="14" xr3:uid="{00000000-0010-0000-3000-00000E000000}" name="rec"/>
    <tableColumn id="15" xr3:uid="{00000000-0010-0000-3000-00000F000000}" name="rec_yd"/>
    <tableColumn id="16" xr3:uid="{00000000-0010-0000-3000-000010000000}" name="rec_td"/>
    <tableColumn id="17" xr3:uid="{00000000-0010-0000-3000-000011000000}" name="fmb"/>
    <tableColumn id="18" xr3:uid="{00000000-0010-0000-3000-000012000000}" name="tp_c"/>
    <tableColumn id="19" xr3:uid="{00000000-0010-0000-3000-000013000000}" name="f_ppr"/>
    <tableColumn id="20" xr3:uid="{00000000-0010-0000-3000-000014000000}" name="tgt_share"/>
    <tableColumn id="21" xr3:uid="{00000000-0010-0000-3000-000015000000}" name="ypc"/>
    <tableColumn id="22" xr3:uid="{00000000-0010-0000-3000-000016000000}" name="ypr"/>
    <tableColumn id="23" xr3:uid="{00000000-0010-0000-3000-000017000000}" name="cmp_pct"/>
    <tableColumn id="24" xr3:uid="{00000000-0010-0000-3000-000018000000}" name="td_rate"/>
    <tableColumn id="25" xr3:uid="{00000000-0010-0000-3000-000019000000}" name="f_custom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Table52" displayName="Table52" ref="A30:L31" totalsRowShown="0">
  <autoFilter ref="A30:L31" xr:uid="{00000000-0009-0000-0100-000034000000}"/>
  <tableColumns count="12">
    <tableColumn id="1" xr3:uid="{00000000-0010-0000-3100-000001000000}" name="team"/>
    <tableColumn id="2" xr3:uid="{00000000-0010-0000-3100-000002000000}" name="off_yd"/>
    <tableColumn id="3" xr3:uid="{00000000-0010-0000-3100-000003000000}" name="p_yd"/>
    <tableColumn id="4" xr3:uid="{00000000-0010-0000-3100-000004000000}" name="car"/>
    <tableColumn id="5" xr3:uid="{00000000-0010-0000-3100-000005000000}" name="r_yd"/>
    <tableColumn id="6" xr3:uid="{00000000-0010-0000-3100-000006000000}" name="r_td"/>
    <tableColumn id="7" xr3:uid="{00000000-0010-0000-3100-000007000000}" name="p_ff"/>
    <tableColumn id="8" xr3:uid="{00000000-0010-0000-3100-000008000000}" name="p_att"/>
    <tableColumn id="9" xr3:uid="{00000000-0010-0000-3100-000009000000}" name="cmp_pct"/>
    <tableColumn id="10" xr3:uid="{00000000-0010-0000-3100-00000A000000}" name="p_td"/>
    <tableColumn id="11" xr3:uid="{00000000-0010-0000-3100-00000B000000}" name="int"/>
    <tableColumn id="12" xr3:uid="{00000000-0010-0000-3100-00000C000000}" name="fmb"/>
  </tableColumns>
  <tableStyleInfo name="TableStyleLight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Table53" displayName="Table53" ref="A32:L33" totalsRowShown="0">
  <autoFilter ref="A32:L33" xr:uid="{00000000-0009-0000-0100-000035000000}"/>
  <tableColumns count="12">
    <tableColumn id="1" xr3:uid="{00000000-0010-0000-3200-000001000000}" name="team"/>
    <tableColumn id="2" xr3:uid="{00000000-0010-0000-3200-000002000000}" name="off_yd"/>
    <tableColumn id="3" xr3:uid="{00000000-0010-0000-3200-000003000000}" name="p_yd"/>
    <tableColumn id="4" xr3:uid="{00000000-0010-0000-3200-000004000000}" name="car"/>
    <tableColumn id="5" xr3:uid="{00000000-0010-0000-3200-000005000000}" name="r_yd"/>
    <tableColumn id="6" xr3:uid="{00000000-0010-0000-3200-000006000000}" name="r_td"/>
    <tableColumn id="7" xr3:uid="{00000000-0010-0000-3200-000007000000}" name="p_ff"/>
    <tableColumn id="8" xr3:uid="{00000000-0010-0000-3200-000008000000}" name="p_att"/>
    <tableColumn id="9" xr3:uid="{00000000-0010-0000-3200-000009000000}" name="cmp_pct"/>
    <tableColumn id="10" xr3:uid="{00000000-0010-0000-3200-00000A000000}" name="p_td"/>
    <tableColumn id="11" xr3:uid="{00000000-0010-0000-3200-00000B000000}" name="int"/>
    <tableColumn id="12" xr3:uid="{00000000-0010-0000-3200-00000C000000}" name="fmb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Table54" displayName="Table54" ref="A35:AB62" totalsRowShown="0">
  <autoFilter ref="A35:AB62" xr:uid="{00000000-0009-0000-0100-000036000000}"/>
  <tableColumns count="28">
    <tableColumn id="1" xr3:uid="{00000000-0010-0000-3300-000001000000}" name="Name"/>
    <tableColumn id="2" xr3:uid="{00000000-0010-0000-3300-000002000000}" name="POS"/>
    <tableColumn id="3" xr3:uid="{00000000-0010-0000-3300-000003000000}" name="Age"/>
    <tableColumn id="4" xr3:uid="{00000000-0010-0000-3300-000004000000}" name="Exp"/>
    <tableColumn id="5" xr3:uid="{00000000-0010-0000-3300-000005000000}" name="College"/>
    <tableColumn id="6" xr3:uid="{00000000-0010-0000-3300-000006000000}" name="team"/>
    <tableColumn id="7" xr3:uid="{00000000-0010-0000-3300-000007000000}" name="g"/>
    <tableColumn id="8" xr3:uid="{00000000-0010-0000-3300-000008000000}" name="p_att"/>
    <tableColumn id="9" xr3:uid="{00000000-0010-0000-3300-000009000000}" name="cmp"/>
    <tableColumn id="10" xr3:uid="{00000000-0010-0000-3300-00000A000000}" name="p_yd"/>
    <tableColumn id="11" xr3:uid="{00000000-0010-0000-3300-00000B000000}" name="p_td"/>
    <tableColumn id="12" xr3:uid="{00000000-0010-0000-3300-00000C000000}" name="int"/>
    <tableColumn id="13" xr3:uid="{00000000-0010-0000-3300-00000D000000}" name="car"/>
    <tableColumn id="14" xr3:uid="{00000000-0010-0000-3300-00000E000000}" name="r_yd"/>
    <tableColumn id="15" xr3:uid="{00000000-0010-0000-3300-00000F000000}" name="r_td"/>
    <tableColumn id="16" xr3:uid="{00000000-0010-0000-3300-000010000000}" name="tgt"/>
    <tableColumn id="17" xr3:uid="{00000000-0010-0000-3300-000011000000}" name="rec"/>
    <tableColumn id="18" xr3:uid="{00000000-0010-0000-3300-000012000000}" name="rec_yd"/>
    <tableColumn id="19" xr3:uid="{00000000-0010-0000-3300-000013000000}" name="rec_td"/>
    <tableColumn id="20" xr3:uid="{00000000-0010-0000-3300-000014000000}" name="fmb"/>
    <tableColumn id="21" xr3:uid="{00000000-0010-0000-3300-000015000000}" name="tp_c"/>
    <tableColumn id="22" xr3:uid="{00000000-0010-0000-3300-000016000000}" name="f_ppr"/>
    <tableColumn id="23" xr3:uid="{00000000-0010-0000-3300-000017000000}" name="tgt_share"/>
    <tableColumn id="24" xr3:uid="{00000000-0010-0000-3300-000018000000}" name="ypc"/>
    <tableColumn id="25" xr3:uid="{00000000-0010-0000-3300-000019000000}" name="ypr"/>
    <tableColumn id="26" xr3:uid="{00000000-0010-0000-3300-00001A000000}" name="cmp_pct"/>
    <tableColumn id="27" xr3:uid="{00000000-0010-0000-3300-00001B000000}" name="td_rate"/>
    <tableColumn id="28" xr3:uid="{00000000-0010-0000-3300-00001C000000}" name="f_custom"/>
  </tableColumns>
  <tableStyleInfo name="TableStyleLight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Table55" displayName="Table55" ref="A1:Y20" totalsRowShown="0">
  <autoFilter ref="A1:Y20" xr:uid="{00000000-0009-0000-0100-000037000000}"/>
  <tableColumns count="25">
    <tableColumn id="1" xr3:uid="{00000000-0010-0000-3400-000001000000}" name="player_name"/>
    <tableColumn id="2" xr3:uid="{00000000-0010-0000-3400-000002000000}" name="recent_team"/>
    <tableColumn id="3" xr3:uid="{00000000-0010-0000-3400-000003000000}" name="pos"/>
    <tableColumn id="4" xr3:uid="{00000000-0010-0000-3400-000004000000}" name="g"/>
    <tableColumn id="5" xr3:uid="{00000000-0010-0000-3400-000005000000}" name="p_att"/>
    <tableColumn id="6" xr3:uid="{00000000-0010-0000-3400-000006000000}" name="cmp"/>
    <tableColumn id="7" xr3:uid="{00000000-0010-0000-3400-000007000000}" name="p_yd"/>
    <tableColumn id="8" xr3:uid="{00000000-0010-0000-3400-000008000000}" name="p_td"/>
    <tableColumn id="9" xr3:uid="{00000000-0010-0000-3400-000009000000}" name="int"/>
    <tableColumn id="10" xr3:uid="{00000000-0010-0000-3400-00000A000000}" name="car"/>
    <tableColumn id="11" xr3:uid="{00000000-0010-0000-3400-00000B000000}" name="r_yd"/>
    <tableColumn id="12" xr3:uid="{00000000-0010-0000-3400-00000C000000}" name="r_td"/>
    <tableColumn id="13" xr3:uid="{00000000-0010-0000-3400-00000D000000}" name="tgt"/>
    <tableColumn id="14" xr3:uid="{00000000-0010-0000-3400-00000E000000}" name="rec"/>
    <tableColumn id="15" xr3:uid="{00000000-0010-0000-3400-00000F000000}" name="rec_yd"/>
    <tableColumn id="16" xr3:uid="{00000000-0010-0000-3400-000010000000}" name="rec_td"/>
    <tableColumn id="17" xr3:uid="{00000000-0010-0000-3400-000011000000}" name="fmb"/>
    <tableColumn id="18" xr3:uid="{00000000-0010-0000-3400-000012000000}" name="tp_c"/>
    <tableColumn id="19" xr3:uid="{00000000-0010-0000-3400-000013000000}" name="f_ppr"/>
    <tableColumn id="20" xr3:uid="{00000000-0010-0000-3400-000014000000}" name="tgt_share"/>
    <tableColumn id="21" xr3:uid="{00000000-0010-0000-3400-000015000000}" name="ypc"/>
    <tableColumn id="22" xr3:uid="{00000000-0010-0000-3400-000016000000}" name="ypr"/>
    <tableColumn id="23" xr3:uid="{00000000-0010-0000-3400-000017000000}" name="cmp_pct"/>
    <tableColumn id="24" xr3:uid="{00000000-0010-0000-3400-000018000000}" name="td_rate"/>
    <tableColumn id="25" xr3:uid="{00000000-0010-0000-3400-000019000000}" name="f_custom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Table56" displayName="Table56" ref="A30:L31" totalsRowShown="0">
  <autoFilter ref="A30:L31" xr:uid="{00000000-0009-0000-0100-000038000000}"/>
  <tableColumns count="12">
    <tableColumn id="1" xr3:uid="{00000000-0010-0000-3500-000001000000}" name="team"/>
    <tableColumn id="2" xr3:uid="{00000000-0010-0000-3500-000002000000}" name="off_yd"/>
    <tableColumn id="3" xr3:uid="{00000000-0010-0000-3500-000003000000}" name="p_yd"/>
    <tableColumn id="4" xr3:uid="{00000000-0010-0000-3500-000004000000}" name="car"/>
    <tableColumn id="5" xr3:uid="{00000000-0010-0000-3500-000005000000}" name="r_yd"/>
    <tableColumn id="6" xr3:uid="{00000000-0010-0000-3500-000006000000}" name="r_td"/>
    <tableColumn id="7" xr3:uid="{00000000-0010-0000-3500-000007000000}" name="p_ff"/>
    <tableColumn id="8" xr3:uid="{00000000-0010-0000-3500-000008000000}" name="p_att"/>
    <tableColumn id="9" xr3:uid="{00000000-0010-0000-3500-000009000000}" name="cmp_pct"/>
    <tableColumn id="10" xr3:uid="{00000000-0010-0000-3500-00000A000000}" name="p_td"/>
    <tableColumn id="11" xr3:uid="{00000000-0010-0000-3500-00000B000000}" name="int"/>
    <tableColumn id="12" xr3:uid="{00000000-0010-0000-3500-00000C000000}" name="fmb"/>
  </tableColumns>
  <tableStyleInfo name="TableStyleLight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Table57" displayName="Table57" ref="A32:L33" totalsRowShown="0">
  <autoFilter ref="A32:L33" xr:uid="{00000000-0009-0000-0100-000039000000}"/>
  <tableColumns count="12">
    <tableColumn id="1" xr3:uid="{00000000-0010-0000-3600-000001000000}" name="team"/>
    <tableColumn id="2" xr3:uid="{00000000-0010-0000-3600-000002000000}" name="off_yd"/>
    <tableColumn id="3" xr3:uid="{00000000-0010-0000-3600-000003000000}" name="p_yd"/>
    <tableColumn id="4" xr3:uid="{00000000-0010-0000-3600-000004000000}" name="car"/>
    <tableColumn id="5" xr3:uid="{00000000-0010-0000-3600-000005000000}" name="r_yd"/>
    <tableColumn id="6" xr3:uid="{00000000-0010-0000-3600-000006000000}" name="r_td"/>
    <tableColumn id="7" xr3:uid="{00000000-0010-0000-3600-000007000000}" name="p_ff"/>
    <tableColumn id="8" xr3:uid="{00000000-0010-0000-3600-000008000000}" name="p_att"/>
    <tableColumn id="9" xr3:uid="{00000000-0010-0000-3600-000009000000}" name="cmp_pct"/>
    <tableColumn id="10" xr3:uid="{00000000-0010-0000-3600-00000A000000}" name="p_td"/>
    <tableColumn id="11" xr3:uid="{00000000-0010-0000-3600-00000B000000}" name="int"/>
    <tableColumn id="12" xr3:uid="{00000000-0010-0000-3600-00000C000000}" name="fmb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Table58" displayName="Table58" ref="A35:AB64" totalsRowShown="0">
  <autoFilter ref="A35:AB64" xr:uid="{00000000-0009-0000-0100-00003A000000}"/>
  <tableColumns count="28">
    <tableColumn id="1" xr3:uid="{00000000-0010-0000-3700-000001000000}" name="Name"/>
    <tableColumn id="2" xr3:uid="{00000000-0010-0000-3700-000002000000}" name="POS"/>
    <tableColumn id="3" xr3:uid="{00000000-0010-0000-3700-000003000000}" name="Age"/>
    <tableColumn id="4" xr3:uid="{00000000-0010-0000-3700-000004000000}" name="Exp"/>
    <tableColumn id="5" xr3:uid="{00000000-0010-0000-3700-000005000000}" name="College"/>
    <tableColumn id="6" xr3:uid="{00000000-0010-0000-3700-000006000000}" name="team"/>
    <tableColumn id="7" xr3:uid="{00000000-0010-0000-3700-000007000000}" name="g"/>
    <tableColumn id="8" xr3:uid="{00000000-0010-0000-3700-000008000000}" name="p_att"/>
    <tableColumn id="9" xr3:uid="{00000000-0010-0000-3700-000009000000}" name="cmp"/>
    <tableColumn id="10" xr3:uid="{00000000-0010-0000-3700-00000A000000}" name="p_yd"/>
    <tableColumn id="11" xr3:uid="{00000000-0010-0000-3700-00000B000000}" name="p_td"/>
    <tableColumn id="12" xr3:uid="{00000000-0010-0000-3700-00000C000000}" name="int"/>
    <tableColumn id="13" xr3:uid="{00000000-0010-0000-3700-00000D000000}" name="car"/>
    <tableColumn id="14" xr3:uid="{00000000-0010-0000-3700-00000E000000}" name="r_yd"/>
    <tableColumn id="15" xr3:uid="{00000000-0010-0000-3700-00000F000000}" name="r_td"/>
    <tableColumn id="16" xr3:uid="{00000000-0010-0000-3700-000010000000}" name="tgt"/>
    <tableColumn id="17" xr3:uid="{00000000-0010-0000-3700-000011000000}" name="rec"/>
    <tableColumn id="18" xr3:uid="{00000000-0010-0000-3700-000012000000}" name="rec_yd"/>
    <tableColumn id="19" xr3:uid="{00000000-0010-0000-3700-000013000000}" name="rec_td"/>
    <tableColumn id="20" xr3:uid="{00000000-0010-0000-3700-000014000000}" name="fmb"/>
    <tableColumn id="21" xr3:uid="{00000000-0010-0000-3700-000015000000}" name="tp_c"/>
    <tableColumn id="22" xr3:uid="{00000000-0010-0000-3700-000016000000}" name="f_ppr"/>
    <tableColumn id="23" xr3:uid="{00000000-0010-0000-3700-000017000000}" name="tgt_share"/>
    <tableColumn id="24" xr3:uid="{00000000-0010-0000-3700-000018000000}" name="ypc"/>
    <tableColumn id="25" xr3:uid="{00000000-0010-0000-3700-000019000000}" name="ypr"/>
    <tableColumn id="26" xr3:uid="{00000000-0010-0000-3700-00001A000000}" name="cmp_pct"/>
    <tableColumn id="27" xr3:uid="{00000000-0010-0000-3700-00001B000000}" name="td_rate"/>
    <tableColumn id="28" xr3:uid="{00000000-0010-0000-3700-00001C000000}" name="f_custom"/>
  </tableColumns>
  <tableStyleInfo name="TableStyleLight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Table59" displayName="Table59" ref="A1:Y16" totalsRowShown="0">
  <autoFilter ref="A1:Y16" xr:uid="{00000000-0009-0000-0100-00003B000000}"/>
  <tableColumns count="25">
    <tableColumn id="1" xr3:uid="{00000000-0010-0000-3800-000001000000}" name="player_name"/>
    <tableColumn id="2" xr3:uid="{00000000-0010-0000-3800-000002000000}" name="recent_team"/>
    <tableColumn id="3" xr3:uid="{00000000-0010-0000-3800-000003000000}" name="pos"/>
    <tableColumn id="4" xr3:uid="{00000000-0010-0000-3800-000004000000}" name="g"/>
    <tableColumn id="5" xr3:uid="{00000000-0010-0000-3800-000005000000}" name="p_att"/>
    <tableColumn id="6" xr3:uid="{00000000-0010-0000-3800-000006000000}" name="cmp"/>
    <tableColumn id="7" xr3:uid="{00000000-0010-0000-3800-000007000000}" name="p_yd"/>
    <tableColumn id="8" xr3:uid="{00000000-0010-0000-3800-000008000000}" name="p_td"/>
    <tableColumn id="9" xr3:uid="{00000000-0010-0000-3800-000009000000}" name="int"/>
    <tableColumn id="10" xr3:uid="{00000000-0010-0000-3800-00000A000000}" name="car"/>
    <tableColumn id="11" xr3:uid="{00000000-0010-0000-3800-00000B000000}" name="r_yd"/>
    <tableColumn id="12" xr3:uid="{00000000-0010-0000-3800-00000C000000}" name="r_td"/>
    <tableColumn id="13" xr3:uid="{00000000-0010-0000-3800-00000D000000}" name="tgt"/>
    <tableColumn id="14" xr3:uid="{00000000-0010-0000-3800-00000E000000}" name="rec"/>
    <tableColumn id="15" xr3:uid="{00000000-0010-0000-3800-00000F000000}" name="rec_yd"/>
    <tableColumn id="16" xr3:uid="{00000000-0010-0000-3800-000010000000}" name="rec_td"/>
    <tableColumn id="17" xr3:uid="{00000000-0010-0000-3800-000011000000}" name="fmb"/>
    <tableColumn id="18" xr3:uid="{00000000-0010-0000-3800-000012000000}" name="tp_c"/>
    <tableColumn id="19" xr3:uid="{00000000-0010-0000-3800-000013000000}" name="f_ppr"/>
    <tableColumn id="20" xr3:uid="{00000000-0010-0000-3800-000014000000}" name="tgt_share"/>
    <tableColumn id="21" xr3:uid="{00000000-0010-0000-3800-000015000000}" name="ypc"/>
    <tableColumn id="22" xr3:uid="{00000000-0010-0000-3800-000016000000}" name="ypr"/>
    <tableColumn id="23" xr3:uid="{00000000-0010-0000-3800-000017000000}" name="cmp_pct"/>
    <tableColumn id="24" xr3:uid="{00000000-0010-0000-3800-000018000000}" name="td_rate"/>
    <tableColumn id="25" xr3:uid="{00000000-0010-0000-3800-000019000000}" name="f_custom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Table60" displayName="Table60" ref="A30:L31" totalsRowShown="0">
  <autoFilter ref="A30:L31" xr:uid="{00000000-0009-0000-0100-00003C000000}"/>
  <tableColumns count="12">
    <tableColumn id="1" xr3:uid="{00000000-0010-0000-3900-000001000000}" name="team"/>
    <tableColumn id="2" xr3:uid="{00000000-0010-0000-3900-000002000000}" name="off_yd"/>
    <tableColumn id="3" xr3:uid="{00000000-0010-0000-3900-000003000000}" name="p_yd"/>
    <tableColumn id="4" xr3:uid="{00000000-0010-0000-3900-000004000000}" name="car"/>
    <tableColumn id="5" xr3:uid="{00000000-0010-0000-3900-000005000000}" name="r_yd"/>
    <tableColumn id="6" xr3:uid="{00000000-0010-0000-3900-000006000000}" name="r_td"/>
    <tableColumn id="7" xr3:uid="{00000000-0010-0000-3900-000007000000}" name="p_ff"/>
    <tableColumn id="8" xr3:uid="{00000000-0010-0000-3900-000008000000}" name="p_att"/>
    <tableColumn id="9" xr3:uid="{00000000-0010-0000-3900-000009000000}" name="cmp_pct"/>
    <tableColumn id="10" xr3:uid="{00000000-0010-0000-3900-00000A000000}" name="p_td"/>
    <tableColumn id="11" xr3:uid="{00000000-0010-0000-3900-00000B000000}" name="int"/>
    <tableColumn id="12" xr3:uid="{00000000-0010-0000-3900-00000C000000}" name="fmb"/>
  </tableColumns>
  <tableStyleInfo name="TableStyleLight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Table61" displayName="Table61" ref="A32:L33" totalsRowShown="0">
  <autoFilter ref="A32:L33" xr:uid="{00000000-0009-0000-0100-00003D000000}"/>
  <tableColumns count="12">
    <tableColumn id="1" xr3:uid="{00000000-0010-0000-3A00-000001000000}" name="team"/>
    <tableColumn id="2" xr3:uid="{00000000-0010-0000-3A00-000002000000}" name="off_yd"/>
    <tableColumn id="3" xr3:uid="{00000000-0010-0000-3A00-000003000000}" name="p_yd"/>
    <tableColumn id="4" xr3:uid="{00000000-0010-0000-3A00-000004000000}" name="car"/>
    <tableColumn id="5" xr3:uid="{00000000-0010-0000-3A00-000005000000}" name="r_yd"/>
    <tableColumn id="6" xr3:uid="{00000000-0010-0000-3A00-000006000000}" name="r_td"/>
    <tableColumn id="7" xr3:uid="{00000000-0010-0000-3A00-000007000000}" name="p_ff"/>
    <tableColumn id="8" xr3:uid="{00000000-0010-0000-3A00-000008000000}" name="p_att"/>
    <tableColumn id="9" xr3:uid="{00000000-0010-0000-3A00-000009000000}" name="cmp_pct"/>
    <tableColumn id="10" xr3:uid="{00000000-0010-0000-3A00-00000A000000}" name="p_td"/>
    <tableColumn id="11" xr3:uid="{00000000-0010-0000-3A00-00000B000000}" name="int"/>
    <tableColumn id="12" xr3:uid="{00000000-0010-0000-3A00-00000C000000}" name="fmb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Table62" displayName="Table62" ref="A35:AB64" totalsRowShown="0">
  <autoFilter ref="A35:AB64" xr:uid="{00000000-0009-0000-0100-00003E000000}"/>
  <tableColumns count="28">
    <tableColumn id="1" xr3:uid="{00000000-0010-0000-3B00-000001000000}" name="Name"/>
    <tableColumn id="2" xr3:uid="{00000000-0010-0000-3B00-000002000000}" name="POS"/>
    <tableColumn id="3" xr3:uid="{00000000-0010-0000-3B00-000003000000}" name="Age"/>
    <tableColumn id="4" xr3:uid="{00000000-0010-0000-3B00-000004000000}" name="Exp"/>
    <tableColumn id="5" xr3:uid="{00000000-0010-0000-3B00-000005000000}" name="College"/>
    <tableColumn id="6" xr3:uid="{00000000-0010-0000-3B00-000006000000}" name="team"/>
    <tableColumn id="7" xr3:uid="{00000000-0010-0000-3B00-000007000000}" name="g"/>
    <tableColumn id="8" xr3:uid="{00000000-0010-0000-3B00-000008000000}" name="p_att"/>
    <tableColumn id="9" xr3:uid="{00000000-0010-0000-3B00-000009000000}" name="cmp"/>
    <tableColumn id="10" xr3:uid="{00000000-0010-0000-3B00-00000A000000}" name="p_yd"/>
    <tableColumn id="11" xr3:uid="{00000000-0010-0000-3B00-00000B000000}" name="p_td"/>
    <tableColumn id="12" xr3:uid="{00000000-0010-0000-3B00-00000C000000}" name="int"/>
    <tableColumn id="13" xr3:uid="{00000000-0010-0000-3B00-00000D000000}" name="car"/>
    <tableColumn id="14" xr3:uid="{00000000-0010-0000-3B00-00000E000000}" name="r_yd"/>
    <tableColumn id="15" xr3:uid="{00000000-0010-0000-3B00-00000F000000}" name="r_td"/>
    <tableColumn id="16" xr3:uid="{00000000-0010-0000-3B00-000010000000}" name="tgt"/>
    <tableColumn id="17" xr3:uid="{00000000-0010-0000-3B00-000011000000}" name="rec"/>
    <tableColumn id="18" xr3:uid="{00000000-0010-0000-3B00-000012000000}" name="rec_yd"/>
    <tableColumn id="19" xr3:uid="{00000000-0010-0000-3B00-000013000000}" name="rec_td"/>
    <tableColumn id="20" xr3:uid="{00000000-0010-0000-3B00-000014000000}" name="fmb"/>
    <tableColumn id="21" xr3:uid="{00000000-0010-0000-3B00-000015000000}" name="tp_c"/>
    <tableColumn id="22" xr3:uid="{00000000-0010-0000-3B00-000016000000}" name="f_ppr"/>
    <tableColumn id="23" xr3:uid="{00000000-0010-0000-3B00-000017000000}" name="tgt_share"/>
    <tableColumn id="24" xr3:uid="{00000000-0010-0000-3B00-000018000000}" name="ypc"/>
    <tableColumn id="25" xr3:uid="{00000000-0010-0000-3B00-000019000000}" name="ypr"/>
    <tableColumn id="26" xr3:uid="{00000000-0010-0000-3B00-00001A000000}" name="cmp_pct"/>
    <tableColumn id="27" xr3:uid="{00000000-0010-0000-3B00-00001B000000}" name="td_rate"/>
    <tableColumn id="28" xr3:uid="{00000000-0010-0000-3B00-00001C000000}" name="f_custom"/>
  </tableColumns>
  <tableStyleInfo name="TableStyleLight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Table63" displayName="Table63" ref="A1:Y18" totalsRowShown="0">
  <autoFilter ref="A1:Y18" xr:uid="{00000000-0009-0000-0100-00003F000000}"/>
  <tableColumns count="25">
    <tableColumn id="1" xr3:uid="{00000000-0010-0000-3C00-000001000000}" name="player_name"/>
    <tableColumn id="2" xr3:uid="{00000000-0010-0000-3C00-000002000000}" name="recent_team"/>
    <tableColumn id="3" xr3:uid="{00000000-0010-0000-3C00-000003000000}" name="pos"/>
    <tableColumn id="4" xr3:uid="{00000000-0010-0000-3C00-000004000000}" name="g"/>
    <tableColumn id="5" xr3:uid="{00000000-0010-0000-3C00-000005000000}" name="p_att"/>
    <tableColumn id="6" xr3:uid="{00000000-0010-0000-3C00-000006000000}" name="cmp"/>
    <tableColumn id="7" xr3:uid="{00000000-0010-0000-3C00-000007000000}" name="p_yd"/>
    <tableColumn id="8" xr3:uid="{00000000-0010-0000-3C00-000008000000}" name="p_td"/>
    <tableColumn id="9" xr3:uid="{00000000-0010-0000-3C00-000009000000}" name="int"/>
    <tableColumn id="10" xr3:uid="{00000000-0010-0000-3C00-00000A000000}" name="car"/>
    <tableColumn id="11" xr3:uid="{00000000-0010-0000-3C00-00000B000000}" name="r_yd"/>
    <tableColumn id="12" xr3:uid="{00000000-0010-0000-3C00-00000C000000}" name="r_td"/>
    <tableColumn id="13" xr3:uid="{00000000-0010-0000-3C00-00000D000000}" name="tgt"/>
    <tableColumn id="14" xr3:uid="{00000000-0010-0000-3C00-00000E000000}" name="rec"/>
    <tableColumn id="15" xr3:uid="{00000000-0010-0000-3C00-00000F000000}" name="rec_yd"/>
    <tableColumn id="16" xr3:uid="{00000000-0010-0000-3C00-000010000000}" name="rec_td"/>
    <tableColumn id="17" xr3:uid="{00000000-0010-0000-3C00-000011000000}" name="fmb"/>
    <tableColumn id="18" xr3:uid="{00000000-0010-0000-3C00-000012000000}" name="tp_c"/>
    <tableColumn id="19" xr3:uid="{00000000-0010-0000-3C00-000013000000}" name="f_ppr"/>
    <tableColumn id="20" xr3:uid="{00000000-0010-0000-3C00-000014000000}" name="tgt_share"/>
    <tableColumn id="21" xr3:uid="{00000000-0010-0000-3C00-000015000000}" name="ypc"/>
    <tableColumn id="22" xr3:uid="{00000000-0010-0000-3C00-000016000000}" name="ypr"/>
    <tableColumn id="23" xr3:uid="{00000000-0010-0000-3C00-000017000000}" name="cmp_pct"/>
    <tableColumn id="24" xr3:uid="{00000000-0010-0000-3C00-000018000000}" name="td_rate"/>
    <tableColumn id="25" xr3:uid="{00000000-0010-0000-3C00-000019000000}" name="f_custom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Table64" displayName="Table64" ref="A30:L31" totalsRowShown="0">
  <autoFilter ref="A30:L31" xr:uid="{00000000-0009-0000-0100-000040000000}"/>
  <tableColumns count="12">
    <tableColumn id="1" xr3:uid="{00000000-0010-0000-3D00-000001000000}" name="team"/>
    <tableColumn id="2" xr3:uid="{00000000-0010-0000-3D00-000002000000}" name="off_yd"/>
    <tableColumn id="3" xr3:uid="{00000000-0010-0000-3D00-000003000000}" name="p_yd"/>
    <tableColumn id="4" xr3:uid="{00000000-0010-0000-3D00-000004000000}" name="car"/>
    <tableColumn id="5" xr3:uid="{00000000-0010-0000-3D00-000005000000}" name="r_yd"/>
    <tableColumn id="6" xr3:uid="{00000000-0010-0000-3D00-000006000000}" name="r_td"/>
    <tableColumn id="7" xr3:uid="{00000000-0010-0000-3D00-000007000000}" name="p_ff"/>
    <tableColumn id="8" xr3:uid="{00000000-0010-0000-3D00-000008000000}" name="p_att"/>
    <tableColumn id="9" xr3:uid="{00000000-0010-0000-3D00-000009000000}" name="cmp_pct"/>
    <tableColumn id="10" xr3:uid="{00000000-0010-0000-3D00-00000A000000}" name="p_td"/>
    <tableColumn id="11" xr3:uid="{00000000-0010-0000-3D00-00000B000000}" name="int"/>
    <tableColumn id="12" xr3:uid="{00000000-0010-0000-3D00-00000C000000}" name="fmb"/>
  </tableColumns>
  <tableStyleInfo name="TableStyleLight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Table65" displayName="Table65" ref="A32:L33" totalsRowShown="0">
  <autoFilter ref="A32:L33" xr:uid="{00000000-0009-0000-0100-000041000000}"/>
  <tableColumns count="12">
    <tableColumn id="1" xr3:uid="{00000000-0010-0000-3E00-000001000000}" name="team"/>
    <tableColumn id="2" xr3:uid="{00000000-0010-0000-3E00-000002000000}" name="off_yd"/>
    <tableColumn id="3" xr3:uid="{00000000-0010-0000-3E00-000003000000}" name="p_yd"/>
    <tableColumn id="4" xr3:uid="{00000000-0010-0000-3E00-000004000000}" name="car"/>
    <tableColumn id="5" xr3:uid="{00000000-0010-0000-3E00-000005000000}" name="r_yd"/>
    <tableColumn id="6" xr3:uid="{00000000-0010-0000-3E00-000006000000}" name="r_td"/>
    <tableColumn id="7" xr3:uid="{00000000-0010-0000-3E00-000007000000}" name="p_ff"/>
    <tableColumn id="8" xr3:uid="{00000000-0010-0000-3E00-000008000000}" name="p_att"/>
    <tableColumn id="9" xr3:uid="{00000000-0010-0000-3E00-000009000000}" name="cmp_pct"/>
    <tableColumn id="10" xr3:uid="{00000000-0010-0000-3E00-00000A000000}" name="p_td"/>
    <tableColumn id="11" xr3:uid="{00000000-0010-0000-3E00-00000B000000}" name="int"/>
    <tableColumn id="12" xr3:uid="{00000000-0010-0000-3E00-00000C000000}" name="fmb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Table66" displayName="Table66" ref="A35:AB64" totalsRowShown="0">
  <autoFilter ref="A35:AB64" xr:uid="{00000000-0009-0000-0100-000042000000}"/>
  <tableColumns count="28">
    <tableColumn id="1" xr3:uid="{00000000-0010-0000-3F00-000001000000}" name="Name"/>
    <tableColumn id="2" xr3:uid="{00000000-0010-0000-3F00-000002000000}" name="POS"/>
    <tableColumn id="3" xr3:uid="{00000000-0010-0000-3F00-000003000000}" name="Age"/>
    <tableColumn id="4" xr3:uid="{00000000-0010-0000-3F00-000004000000}" name="Exp"/>
    <tableColumn id="5" xr3:uid="{00000000-0010-0000-3F00-000005000000}" name="College"/>
    <tableColumn id="6" xr3:uid="{00000000-0010-0000-3F00-000006000000}" name="team"/>
    <tableColumn id="7" xr3:uid="{00000000-0010-0000-3F00-000007000000}" name="g"/>
    <tableColumn id="8" xr3:uid="{00000000-0010-0000-3F00-000008000000}" name="p_att"/>
    <tableColumn id="9" xr3:uid="{00000000-0010-0000-3F00-000009000000}" name="cmp"/>
    <tableColumn id="10" xr3:uid="{00000000-0010-0000-3F00-00000A000000}" name="p_yd"/>
    <tableColumn id="11" xr3:uid="{00000000-0010-0000-3F00-00000B000000}" name="p_td"/>
    <tableColumn id="12" xr3:uid="{00000000-0010-0000-3F00-00000C000000}" name="int"/>
    <tableColumn id="13" xr3:uid="{00000000-0010-0000-3F00-00000D000000}" name="car"/>
    <tableColumn id="14" xr3:uid="{00000000-0010-0000-3F00-00000E000000}" name="r_yd"/>
    <tableColumn id="15" xr3:uid="{00000000-0010-0000-3F00-00000F000000}" name="r_td"/>
    <tableColumn id="16" xr3:uid="{00000000-0010-0000-3F00-000010000000}" name="tgt"/>
    <tableColumn id="17" xr3:uid="{00000000-0010-0000-3F00-000011000000}" name="rec"/>
    <tableColumn id="18" xr3:uid="{00000000-0010-0000-3F00-000012000000}" name="rec_yd"/>
    <tableColumn id="19" xr3:uid="{00000000-0010-0000-3F00-000013000000}" name="rec_td"/>
    <tableColumn id="20" xr3:uid="{00000000-0010-0000-3F00-000014000000}" name="fmb"/>
    <tableColumn id="21" xr3:uid="{00000000-0010-0000-3F00-000015000000}" name="tp_c"/>
    <tableColumn id="22" xr3:uid="{00000000-0010-0000-3F00-000016000000}" name="f_ppr"/>
    <tableColumn id="23" xr3:uid="{00000000-0010-0000-3F00-000017000000}" name="tgt_share"/>
    <tableColumn id="24" xr3:uid="{00000000-0010-0000-3F00-000018000000}" name="ypc"/>
    <tableColumn id="25" xr3:uid="{00000000-0010-0000-3F00-000019000000}" name="ypr"/>
    <tableColumn id="26" xr3:uid="{00000000-0010-0000-3F00-00001A000000}" name="cmp_pct"/>
    <tableColumn id="27" xr3:uid="{00000000-0010-0000-3F00-00001B000000}" name="td_rate"/>
    <tableColumn id="28" xr3:uid="{00000000-0010-0000-3F00-00001C000000}" name="f_custom"/>
  </tableColumns>
  <tableStyleInfo name="TableStyleLight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Table67" displayName="Table67" ref="A1:Y21" totalsRowShown="0">
  <autoFilter ref="A1:Y21" xr:uid="{00000000-0009-0000-0100-000043000000}"/>
  <tableColumns count="25">
    <tableColumn id="1" xr3:uid="{00000000-0010-0000-4000-000001000000}" name="player_name"/>
    <tableColumn id="2" xr3:uid="{00000000-0010-0000-4000-000002000000}" name="recent_team"/>
    <tableColumn id="3" xr3:uid="{00000000-0010-0000-4000-000003000000}" name="pos"/>
    <tableColumn id="4" xr3:uid="{00000000-0010-0000-4000-000004000000}" name="g"/>
    <tableColumn id="5" xr3:uid="{00000000-0010-0000-4000-000005000000}" name="p_att"/>
    <tableColumn id="6" xr3:uid="{00000000-0010-0000-4000-000006000000}" name="cmp"/>
    <tableColumn id="7" xr3:uid="{00000000-0010-0000-4000-000007000000}" name="p_yd"/>
    <tableColumn id="8" xr3:uid="{00000000-0010-0000-4000-000008000000}" name="p_td"/>
    <tableColumn id="9" xr3:uid="{00000000-0010-0000-4000-000009000000}" name="int"/>
    <tableColumn id="10" xr3:uid="{00000000-0010-0000-4000-00000A000000}" name="car"/>
    <tableColumn id="11" xr3:uid="{00000000-0010-0000-4000-00000B000000}" name="r_yd"/>
    <tableColumn id="12" xr3:uid="{00000000-0010-0000-4000-00000C000000}" name="r_td"/>
    <tableColumn id="13" xr3:uid="{00000000-0010-0000-4000-00000D000000}" name="tgt"/>
    <tableColumn id="14" xr3:uid="{00000000-0010-0000-4000-00000E000000}" name="rec"/>
    <tableColumn id="15" xr3:uid="{00000000-0010-0000-4000-00000F000000}" name="rec_yd"/>
    <tableColumn id="16" xr3:uid="{00000000-0010-0000-4000-000010000000}" name="rec_td"/>
    <tableColumn id="17" xr3:uid="{00000000-0010-0000-4000-000011000000}" name="fmb"/>
    <tableColumn id="18" xr3:uid="{00000000-0010-0000-4000-000012000000}" name="tp_c"/>
    <tableColumn id="19" xr3:uid="{00000000-0010-0000-4000-000013000000}" name="f_ppr"/>
    <tableColumn id="20" xr3:uid="{00000000-0010-0000-4000-000014000000}" name="tgt_share"/>
    <tableColumn id="21" xr3:uid="{00000000-0010-0000-4000-000015000000}" name="ypc"/>
    <tableColumn id="22" xr3:uid="{00000000-0010-0000-4000-000016000000}" name="ypr"/>
    <tableColumn id="23" xr3:uid="{00000000-0010-0000-4000-000017000000}" name="cmp_pct"/>
    <tableColumn id="24" xr3:uid="{00000000-0010-0000-4000-000018000000}" name="td_rate"/>
    <tableColumn id="25" xr3:uid="{00000000-0010-0000-4000-000019000000}" name="f_custom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Table68" displayName="Table68" ref="A30:L31" totalsRowShown="0">
  <autoFilter ref="A30:L31" xr:uid="{00000000-0009-0000-0100-000044000000}"/>
  <tableColumns count="12">
    <tableColumn id="1" xr3:uid="{00000000-0010-0000-4100-000001000000}" name="team"/>
    <tableColumn id="2" xr3:uid="{00000000-0010-0000-4100-000002000000}" name="off_yd"/>
    <tableColumn id="3" xr3:uid="{00000000-0010-0000-4100-000003000000}" name="p_yd"/>
    <tableColumn id="4" xr3:uid="{00000000-0010-0000-4100-000004000000}" name="car"/>
    <tableColumn id="5" xr3:uid="{00000000-0010-0000-4100-000005000000}" name="r_yd"/>
    <tableColumn id="6" xr3:uid="{00000000-0010-0000-4100-000006000000}" name="r_td"/>
    <tableColumn id="7" xr3:uid="{00000000-0010-0000-4100-000007000000}" name="p_ff"/>
    <tableColumn id="8" xr3:uid="{00000000-0010-0000-4100-000008000000}" name="p_att"/>
    <tableColumn id="9" xr3:uid="{00000000-0010-0000-4100-000009000000}" name="cmp_pct"/>
    <tableColumn id="10" xr3:uid="{00000000-0010-0000-4100-00000A000000}" name="p_td"/>
    <tableColumn id="11" xr3:uid="{00000000-0010-0000-4100-00000B000000}" name="int"/>
    <tableColumn id="12" xr3:uid="{00000000-0010-0000-4100-00000C000000}" name="fmb"/>
  </tableColumns>
  <tableStyleInfo name="TableStyleLight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Table69" displayName="Table69" ref="A32:L33" totalsRowShown="0">
  <autoFilter ref="A32:L33" xr:uid="{00000000-0009-0000-0100-000045000000}"/>
  <tableColumns count="12">
    <tableColumn id="1" xr3:uid="{00000000-0010-0000-4200-000001000000}" name="team"/>
    <tableColumn id="2" xr3:uid="{00000000-0010-0000-4200-000002000000}" name="off_yd"/>
    <tableColumn id="3" xr3:uid="{00000000-0010-0000-4200-000003000000}" name="p_yd"/>
    <tableColumn id="4" xr3:uid="{00000000-0010-0000-4200-000004000000}" name="car"/>
    <tableColumn id="5" xr3:uid="{00000000-0010-0000-4200-000005000000}" name="r_yd"/>
    <tableColumn id="6" xr3:uid="{00000000-0010-0000-4200-000006000000}" name="r_td"/>
    <tableColumn id="7" xr3:uid="{00000000-0010-0000-4200-000007000000}" name="p_ff"/>
    <tableColumn id="8" xr3:uid="{00000000-0010-0000-4200-000008000000}" name="p_att"/>
    <tableColumn id="9" xr3:uid="{00000000-0010-0000-4200-000009000000}" name="cmp_pct"/>
    <tableColumn id="10" xr3:uid="{00000000-0010-0000-4200-00000A000000}" name="p_td"/>
    <tableColumn id="11" xr3:uid="{00000000-0010-0000-4200-00000B000000}" name="int"/>
    <tableColumn id="12" xr3:uid="{00000000-0010-0000-4200-00000C000000}" name="fmb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Table70" displayName="Table70" ref="A35:AB61" totalsRowShown="0">
  <autoFilter ref="A35:AB61" xr:uid="{00000000-0009-0000-0100-000046000000}"/>
  <tableColumns count="28">
    <tableColumn id="1" xr3:uid="{00000000-0010-0000-4300-000001000000}" name="Name"/>
    <tableColumn id="2" xr3:uid="{00000000-0010-0000-4300-000002000000}" name="POS"/>
    <tableColumn id="3" xr3:uid="{00000000-0010-0000-4300-000003000000}" name="Age"/>
    <tableColumn id="4" xr3:uid="{00000000-0010-0000-4300-000004000000}" name="Exp"/>
    <tableColumn id="5" xr3:uid="{00000000-0010-0000-4300-000005000000}" name="College"/>
    <tableColumn id="6" xr3:uid="{00000000-0010-0000-4300-000006000000}" name="team"/>
    <tableColumn id="7" xr3:uid="{00000000-0010-0000-4300-000007000000}" name="g"/>
    <tableColumn id="8" xr3:uid="{00000000-0010-0000-4300-000008000000}" name="p_att"/>
    <tableColumn id="9" xr3:uid="{00000000-0010-0000-4300-000009000000}" name="cmp"/>
    <tableColumn id="10" xr3:uid="{00000000-0010-0000-4300-00000A000000}" name="p_yd"/>
    <tableColumn id="11" xr3:uid="{00000000-0010-0000-4300-00000B000000}" name="p_td"/>
    <tableColumn id="12" xr3:uid="{00000000-0010-0000-4300-00000C000000}" name="int"/>
    <tableColumn id="13" xr3:uid="{00000000-0010-0000-4300-00000D000000}" name="car"/>
    <tableColumn id="14" xr3:uid="{00000000-0010-0000-4300-00000E000000}" name="r_yd"/>
    <tableColumn id="15" xr3:uid="{00000000-0010-0000-4300-00000F000000}" name="r_td"/>
    <tableColumn id="16" xr3:uid="{00000000-0010-0000-4300-000010000000}" name="tgt"/>
    <tableColumn id="17" xr3:uid="{00000000-0010-0000-4300-000011000000}" name="rec"/>
    <tableColumn id="18" xr3:uid="{00000000-0010-0000-4300-000012000000}" name="rec_yd"/>
    <tableColumn id="19" xr3:uid="{00000000-0010-0000-4300-000013000000}" name="rec_td"/>
    <tableColumn id="20" xr3:uid="{00000000-0010-0000-4300-000014000000}" name="fmb"/>
    <tableColumn id="21" xr3:uid="{00000000-0010-0000-4300-000015000000}" name="tp_c"/>
    <tableColumn id="22" xr3:uid="{00000000-0010-0000-4300-000016000000}" name="f_ppr"/>
    <tableColumn id="23" xr3:uid="{00000000-0010-0000-4300-000017000000}" name="tgt_share"/>
    <tableColumn id="24" xr3:uid="{00000000-0010-0000-4300-000018000000}" name="ypc"/>
    <tableColumn id="25" xr3:uid="{00000000-0010-0000-4300-000019000000}" name="ypr"/>
    <tableColumn id="26" xr3:uid="{00000000-0010-0000-4300-00001A000000}" name="cmp_pct"/>
    <tableColumn id="27" xr3:uid="{00000000-0010-0000-4300-00001B000000}" name="td_rate"/>
    <tableColumn id="28" xr3:uid="{00000000-0010-0000-4300-00001C000000}" name="f_custom"/>
  </tableColumns>
  <tableStyleInfo name="TableStyleLight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Table71" displayName="Table71" ref="A1:Y22" totalsRowShown="0">
  <autoFilter ref="A1:Y22" xr:uid="{00000000-0009-0000-0100-000047000000}"/>
  <tableColumns count="25">
    <tableColumn id="1" xr3:uid="{00000000-0010-0000-4400-000001000000}" name="player_name"/>
    <tableColumn id="2" xr3:uid="{00000000-0010-0000-4400-000002000000}" name="recent_team"/>
    <tableColumn id="3" xr3:uid="{00000000-0010-0000-4400-000003000000}" name="pos"/>
    <tableColumn id="4" xr3:uid="{00000000-0010-0000-4400-000004000000}" name="g"/>
    <tableColumn id="5" xr3:uid="{00000000-0010-0000-4400-000005000000}" name="p_att"/>
    <tableColumn id="6" xr3:uid="{00000000-0010-0000-4400-000006000000}" name="cmp"/>
    <tableColumn id="7" xr3:uid="{00000000-0010-0000-4400-000007000000}" name="p_yd"/>
    <tableColumn id="8" xr3:uid="{00000000-0010-0000-4400-000008000000}" name="p_td"/>
    <tableColumn id="9" xr3:uid="{00000000-0010-0000-4400-000009000000}" name="int"/>
    <tableColumn id="10" xr3:uid="{00000000-0010-0000-4400-00000A000000}" name="car"/>
    <tableColumn id="11" xr3:uid="{00000000-0010-0000-4400-00000B000000}" name="r_yd"/>
    <tableColumn id="12" xr3:uid="{00000000-0010-0000-4400-00000C000000}" name="r_td"/>
    <tableColumn id="13" xr3:uid="{00000000-0010-0000-4400-00000D000000}" name="tgt"/>
    <tableColumn id="14" xr3:uid="{00000000-0010-0000-4400-00000E000000}" name="rec"/>
    <tableColumn id="15" xr3:uid="{00000000-0010-0000-4400-00000F000000}" name="rec_yd"/>
    <tableColumn id="16" xr3:uid="{00000000-0010-0000-4400-000010000000}" name="rec_td"/>
    <tableColumn id="17" xr3:uid="{00000000-0010-0000-4400-000011000000}" name="fmb"/>
    <tableColumn id="18" xr3:uid="{00000000-0010-0000-4400-000012000000}" name="tp_c"/>
    <tableColumn id="19" xr3:uid="{00000000-0010-0000-4400-000013000000}" name="f_ppr"/>
    <tableColumn id="20" xr3:uid="{00000000-0010-0000-4400-000014000000}" name="tgt_share"/>
    <tableColumn id="21" xr3:uid="{00000000-0010-0000-4400-000015000000}" name="ypc"/>
    <tableColumn id="22" xr3:uid="{00000000-0010-0000-4400-000016000000}" name="ypr"/>
    <tableColumn id="23" xr3:uid="{00000000-0010-0000-4400-000017000000}" name="cmp_pct"/>
    <tableColumn id="24" xr3:uid="{00000000-0010-0000-4400-000018000000}" name="td_rate"/>
    <tableColumn id="25" xr3:uid="{00000000-0010-0000-4400-000019000000}" name="f_custom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Table72" displayName="Table72" ref="A30:L31" totalsRowShown="0">
  <autoFilter ref="A30:L31" xr:uid="{00000000-0009-0000-0100-000048000000}"/>
  <tableColumns count="12">
    <tableColumn id="1" xr3:uid="{00000000-0010-0000-4500-000001000000}" name="team"/>
    <tableColumn id="2" xr3:uid="{00000000-0010-0000-4500-000002000000}" name="off_yd"/>
    <tableColumn id="3" xr3:uid="{00000000-0010-0000-4500-000003000000}" name="p_yd"/>
    <tableColumn id="4" xr3:uid="{00000000-0010-0000-4500-000004000000}" name="car"/>
    <tableColumn id="5" xr3:uid="{00000000-0010-0000-4500-000005000000}" name="r_yd"/>
    <tableColumn id="6" xr3:uid="{00000000-0010-0000-4500-000006000000}" name="r_td"/>
    <tableColumn id="7" xr3:uid="{00000000-0010-0000-4500-000007000000}" name="p_ff"/>
    <tableColumn id="8" xr3:uid="{00000000-0010-0000-4500-000008000000}" name="p_att"/>
    <tableColumn id="9" xr3:uid="{00000000-0010-0000-4500-000009000000}" name="cmp_pct"/>
    <tableColumn id="10" xr3:uid="{00000000-0010-0000-4500-00000A000000}" name="p_td"/>
    <tableColumn id="11" xr3:uid="{00000000-0010-0000-4500-00000B000000}" name="int"/>
    <tableColumn id="12" xr3:uid="{00000000-0010-0000-4500-00000C000000}" name="fmb"/>
  </tableColumns>
  <tableStyleInfo name="TableStyleLight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Table73" displayName="Table73" ref="A32:L33" totalsRowShown="0">
  <autoFilter ref="A32:L33" xr:uid="{00000000-0009-0000-0100-000049000000}"/>
  <tableColumns count="12">
    <tableColumn id="1" xr3:uid="{00000000-0010-0000-4600-000001000000}" name="team"/>
    <tableColumn id="2" xr3:uid="{00000000-0010-0000-4600-000002000000}" name="off_yd"/>
    <tableColumn id="3" xr3:uid="{00000000-0010-0000-4600-000003000000}" name="p_yd"/>
    <tableColumn id="4" xr3:uid="{00000000-0010-0000-4600-000004000000}" name="car"/>
    <tableColumn id="5" xr3:uid="{00000000-0010-0000-4600-000005000000}" name="r_yd"/>
    <tableColumn id="6" xr3:uid="{00000000-0010-0000-4600-000006000000}" name="r_td"/>
    <tableColumn id="7" xr3:uid="{00000000-0010-0000-4600-000007000000}" name="p_ff"/>
    <tableColumn id="8" xr3:uid="{00000000-0010-0000-4600-000008000000}" name="p_att"/>
    <tableColumn id="9" xr3:uid="{00000000-0010-0000-4600-000009000000}" name="cmp_pct"/>
    <tableColumn id="10" xr3:uid="{00000000-0010-0000-4600-00000A000000}" name="p_td"/>
    <tableColumn id="11" xr3:uid="{00000000-0010-0000-4600-00000B000000}" name="int"/>
    <tableColumn id="12" xr3:uid="{00000000-0010-0000-4600-00000C000000}" name="fmb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Table74" displayName="Table74" ref="A35:AB36" totalsRowShown="0">
  <autoFilter ref="A35:AB36" xr:uid="{00000000-0009-0000-0100-00004A000000}"/>
  <tableColumns count="28">
    <tableColumn id="1" xr3:uid="{00000000-0010-0000-4700-000001000000}" name="Name"/>
    <tableColumn id="2" xr3:uid="{00000000-0010-0000-4700-000002000000}" name="POS"/>
    <tableColumn id="3" xr3:uid="{00000000-0010-0000-4700-000003000000}" name="Age"/>
    <tableColumn id="4" xr3:uid="{00000000-0010-0000-4700-000004000000}" name="Exp"/>
    <tableColumn id="5" xr3:uid="{00000000-0010-0000-4700-000005000000}" name="College"/>
    <tableColumn id="6" xr3:uid="{00000000-0010-0000-4700-000006000000}" name="team"/>
    <tableColumn id="7" xr3:uid="{00000000-0010-0000-4700-000007000000}" name="g"/>
    <tableColumn id="8" xr3:uid="{00000000-0010-0000-4700-000008000000}" name="p_att"/>
    <tableColumn id="9" xr3:uid="{00000000-0010-0000-4700-000009000000}" name="cmp"/>
    <tableColumn id="10" xr3:uid="{00000000-0010-0000-4700-00000A000000}" name="p_yd"/>
    <tableColumn id="11" xr3:uid="{00000000-0010-0000-4700-00000B000000}" name="p_td"/>
    <tableColumn id="12" xr3:uid="{00000000-0010-0000-4700-00000C000000}" name="int"/>
    <tableColumn id="13" xr3:uid="{00000000-0010-0000-4700-00000D000000}" name="car"/>
    <tableColumn id="14" xr3:uid="{00000000-0010-0000-4700-00000E000000}" name="r_yd"/>
    <tableColumn id="15" xr3:uid="{00000000-0010-0000-4700-00000F000000}" name="r_td"/>
    <tableColumn id="16" xr3:uid="{00000000-0010-0000-4700-000010000000}" name="tgt"/>
    <tableColumn id="17" xr3:uid="{00000000-0010-0000-4700-000011000000}" name="rec"/>
    <tableColumn id="18" xr3:uid="{00000000-0010-0000-4700-000012000000}" name="rec_yd"/>
    <tableColumn id="19" xr3:uid="{00000000-0010-0000-4700-000013000000}" name="rec_td"/>
    <tableColumn id="20" xr3:uid="{00000000-0010-0000-4700-000014000000}" name="fmb"/>
    <tableColumn id="21" xr3:uid="{00000000-0010-0000-4700-000015000000}" name="tp_c"/>
    <tableColumn id="22" xr3:uid="{00000000-0010-0000-4700-000016000000}" name="f_ppr"/>
    <tableColumn id="23" xr3:uid="{00000000-0010-0000-4700-000017000000}" name="tgt_share"/>
    <tableColumn id="24" xr3:uid="{00000000-0010-0000-4700-000018000000}" name="ypc"/>
    <tableColumn id="25" xr3:uid="{00000000-0010-0000-4700-000019000000}" name="ypr"/>
    <tableColumn id="26" xr3:uid="{00000000-0010-0000-4700-00001A000000}" name="cmp_pct"/>
    <tableColumn id="27" xr3:uid="{00000000-0010-0000-4700-00001B000000}" name="td_rate"/>
    <tableColumn id="28" xr3:uid="{00000000-0010-0000-4700-00001C000000}" name="f_custom"/>
  </tableColumns>
  <tableStyleInfo name="TableStyleLight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Table75" displayName="Table75" ref="A1:Y16" totalsRowShown="0">
  <autoFilter ref="A1:Y16" xr:uid="{00000000-0009-0000-0100-00004B000000}"/>
  <tableColumns count="25">
    <tableColumn id="1" xr3:uid="{00000000-0010-0000-4800-000001000000}" name="player_name"/>
    <tableColumn id="2" xr3:uid="{00000000-0010-0000-4800-000002000000}" name="recent_team"/>
    <tableColumn id="3" xr3:uid="{00000000-0010-0000-4800-000003000000}" name="pos"/>
    <tableColumn id="4" xr3:uid="{00000000-0010-0000-4800-000004000000}" name="g"/>
    <tableColumn id="5" xr3:uid="{00000000-0010-0000-4800-000005000000}" name="p_att"/>
    <tableColumn id="6" xr3:uid="{00000000-0010-0000-4800-000006000000}" name="cmp"/>
    <tableColumn id="7" xr3:uid="{00000000-0010-0000-4800-000007000000}" name="p_yd"/>
    <tableColumn id="8" xr3:uid="{00000000-0010-0000-4800-000008000000}" name="p_td"/>
    <tableColumn id="9" xr3:uid="{00000000-0010-0000-4800-000009000000}" name="int"/>
    <tableColumn id="10" xr3:uid="{00000000-0010-0000-4800-00000A000000}" name="car"/>
    <tableColumn id="11" xr3:uid="{00000000-0010-0000-4800-00000B000000}" name="r_yd"/>
    <tableColumn id="12" xr3:uid="{00000000-0010-0000-4800-00000C000000}" name="r_td"/>
    <tableColumn id="13" xr3:uid="{00000000-0010-0000-4800-00000D000000}" name="tgt"/>
    <tableColumn id="14" xr3:uid="{00000000-0010-0000-4800-00000E000000}" name="rec"/>
    <tableColumn id="15" xr3:uid="{00000000-0010-0000-4800-00000F000000}" name="rec_yd"/>
    <tableColumn id="16" xr3:uid="{00000000-0010-0000-4800-000010000000}" name="rec_td"/>
    <tableColumn id="17" xr3:uid="{00000000-0010-0000-4800-000011000000}" name="fmb"/>
    <tableColumn id="18" xr3:uid="{00000000-0010-0000-4800-000012000000}" name="tp_c"/>
    <tableColumn id="19" xr3:uid="{00000000-0010-0000-4800-000013000000}" name="f_ppr"/>
    <tableColumn id="20" xr3:uid="{00000000-0010-0000-4800-000014000000}" name="tgt_share"/>
    <tableColumn id="21" xr3:uid="{00000000-0010-0000-4800-000015000000}" name="ypc"/>
    <tableColumn id="22" xr3:uid="{00000000-0010-0000-4800-000016000000}" name="ypr"/>
    <tableColumn id="23" xr3:uid="{00000000-0010-0000-4800-000017000000}" name="cmp_pct"/>
    <tableColumn id="24" xr3:uid="{00000000-0010-0000-4800-000018000000}" name="td_rate"/>
    <tableColumn id="25" xr3:uid="{00000000-0010-0000-4800-000019000000}" name="f_custom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Table76" displayName="Table76" ref="A30:L31" totalsRowShown="0">
  <autoFilter ref="A30:L31" xr:uid="{00000000-0009-0000-0100-00004C000000}"/>
  <tableColumns count="12">
    <tableColumn id="1" xr3:uid="{00000000-0010-0000-4900-000001000000}" name="team"/>
    <tableColumn id="2" xr3:uid="{00000000-0010-0000-4900-000002000000}" name="off_yd"/>
    <tableColumn id="3" xr3:uid="{00000000-0010-0000-4900-000003000000}" name="p_yd"/>
    <tableColumn id="4" xr3:uid="{00000000-0010-0000-4900-000004000000}" name="car"/>
    <tableColumn id="5" xr3:uid="{00000000-0010-0000-4900-000005000000}" name="r_yd"/>
    <tableColumn id="6" xr3:uid="{00000000-0010-0000-4900-000006000000}" name="r_td"/>
    <tableColumn id="7" xr3:uid="{00000000-0010-0000-4900-000007000000}" name="p_ff"/>
    <tableColumn id="8" xr3:uid="{00000000-0010-0000-4900-000008000000}" name="p_att"/>
    <tableColumn id="9" xr3:uid="{00000000-0010-0000-4900-000009000000}" name="cmp_pct"/>
    <tableColumn id="10" xr3:uid="{00000000-0010-0000-4900-00000A000000}" name="p_td"/>
    <tableColumn id="11" xr3:uid="{00000000-0010-0000-4900-00000B000000}" name="int"/>
    <tableColumn id="12" xr3:uid="{00000000-0010-0000-4900-00000C000000}" name="fmb"/>
  </tableColumns>
  <tableStyleInfo name="TableStyleLight9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Table77" displayName="Table77" ref="A32:L33" totalsRowShown="0">
  <autoFilter ref="A32:L33" xr:uid="{00000000-0009-0000-0100-00004D000000}"/>
  <tableColumns count="12">
    <tableColumn id="1" xr3:uid="{00000000-0010-0000-4A00-000001000000}" name="team"/>
    <tableColumn id="2" xr3:uid="{00000000-0010-0000-4A00-000002000000}" name="off_yd"/>
    <tableColumn id="3" xr3:uid="{00000000-0010-0000-4A00-000003000000}" name="p_yd"/>
    <tableColumn id="4" xr3:uid="{00000000-0010-0000-4A00-000004000000}" name="car"/>
    <tableColumn id="5" xr3:uid="{00000000-0010-0000-4A00-000005000000}" name="r_yd"/>
    <tableColumn id="6" xr3:uid="{00000000-0010-0000-4A00-000006000000}" name="r_td"/>
    <tableColumn id="7" xr3:uid="{00000000-0010-0000-4A00-000007000000}" name="p_ff"/>
    <tableColumn id="8" xr3:uid="{00000000-0010-0000-4A00-000008000000}" name="p_att"/>
    <tableColumn id="9" xr3:uid="{00000000-0010-0000-4A00-000009000000}" name="cmp_pct"/>
    <tableColumn id="10" xr3:uid="{00000000-0010-0000-4A00-00000A000000}" name="p_td"/>
    <tableColumn id="11" xr3:uid="{00000000-0010-0000-4A00-00000B000000}" name="int"/>
    <tableColumn id="12" xr3:uid="{00000000-0010-0000-4A00-00000C000000}" name="fmb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Table78" displayName="Table78" ref="A35:AB63" totalsRowShown="0">
  <autoFilter ref="A35:AB63" xr:uid="{00000000-0009-0000-0100-00004E000000}"/>
  <tableColumns count="28">
    <tableColumn id="1" xr3:uid="{00000000-0010-0000-4B00-000001000000}" name="Name"/>
    <tableColumn id="2" xr3:uid="{00000000-0010-0000-4B00-000002000000}" name="POS"/>
    <tableColumn id="3" xr3:uid="{00000000-0010-0000-4B00-000003000000}" name="Age"/>
    <tableColumn id="4" xr3:uid="{00000000-0010-0000-4B00-000004000000}" name="Exp"/>
    <tableColumn id="5" xr3:uid="{00000000-0010-0000-4B00-000005000000}" name="College"/>
    <tableColumn id="6" xr3:uid="{00000000-0010-0000-4B00-000006000000}" name="team"/>
    <tableColumn id="7" xr3:uid="{00000000-0010-0000-4B00-000007000000}" name="g"/>
    <tableColumn id="8" xr3:uid="{00000000-0010-0000-4B00-000008000000}" name="p_att"/>
    <tableColumn id="9" xr3:uid="{00000000-0010-0000-4B00-000009000000}" name="cmp"/>
    <tableColumn id="10" xr3:uid="{00000000-0010-0000-4B00-00000A000000}" name="p_yd"/>
    <tableColumn id="11" xr3:uid="{00000000-0010-0000-4B00-00000B000000}" name="p_td"/>
    <tableColumn id="12" xr3:uid="{00000000-0010-0000-4B00-00000C000000}" name="int"/>
    <tableColumn id="13" xr3:uid="{00000000-0010-0000-4B00-00000D000000}" name="car"/>
    <tableColumn id="14" xr3:uid="{00000000-0010-0000-4B00-00000E000000}" name="r_yd"/>
    <tableColumn id="15" xr3:uid="{00000000-0010-0000-4B00-00000F000000}" name="r_td"/>
    <tableColumn id="16" xr3:uid="{00000000-0010-0000-4B00-000010000000}" name="tgt"/>
    <tableColumn id="17" xr3:uid="{00000000-0010-0000-4B00-000011000000}" name="rec"/>
    <tableColumn id="18" xr3:uid="{00000000-0010-0000-4B00-000012000000}" name="rec_yd"/>
    <tableColumn id="19" xr3:uid="{00000000-0010-0000-4B00-000013000000}" name="rec_td"/>
    <tableColumn id="20" xr3:uid="{00000000-0010-0000-4B00-000014000000}" name="fmb"/>
    <tableColumn id="21" xr3:uid="{00000000-0010-0000-4B00-000015000000}" name="tp_c"/>
    <tableColumn id="22" xr3:uid="{00000000-0010-0000-4B00-000016000000}" name="f_ppr"/>
    <tableColumn id="23" xr3:uid="{00000000-0010-0000-4B00-000017000000}" name="tgt_share"/>
    <tableColumn id="24" xr3:uid="{00000000-0010-0000-4B00-000018000000}" name="ypc"/>
    <tableColumn id="25" xr3:uid="{00000000-0010-0000-4B00-000019000000}" name="ypr"/>
    <tableColumn id="26" xr3:uid="{00000000-0010-0000-4B00-00001A000000}" name="cmp_pct"/>
    <tableColumn id="27" xr3:uid="{00000000-0010-0000-4B00-00001B000000}" name="td_rate"/>
    <tableColumn id="28" xr3:uid="{00000000-0010-0000-4B00-00001C000000}" name="f_custom"/>
  </tableColumns>
  <tableStyleInfo name="TableStyleLight9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Table79" displayName="Table79" ref="A1:Y20" totalsRowShown="0">
  <autoFilter ref="A1:Y20" xr:uid="{00000000-0009-0000-0100-00004F000000}"/>
  <tableColumns count="25">
    <tableColumn id="1" xr3:uid="{00000000-0010-0000-4C00-000001000000}" name="player_name"/>
    <tableColumn id="2" xr3:uid="{00000000-0010-0000-4C00-000002000000}" name="recent_team"/>
    <tableColumn id="3" xr3:uid="{00000000-0010-0000-4C00-000003000000}" name="pos"/>
    <tableColumn id="4" xr3:uid="{00000000-0010-0000-4C00-000004000000}" name="g"/>
    <tableColumn id="5" xr3:uid="{00000000-0010-0000-4C00-000005000000}" name="p_att"/>
    <tableColumn id="6" xr3:uid="{00000000-0010-0000-4C00-000006000000}" name="cmp"/>
    <tableColumn id="7" xr3:uid="{00000000-0010-0000-4C00-000007000000}" name="p_yd"/>
    <tableColumn id="8" xr3:uid="{00000000-0010-0000-4C00-000008000000}" name="p_td"/>
    <tableColumn id="9" xr3:uid="{00000000-0010-0000-4C00-000009000000}" name="int"/>
    <tableColumn id="10" xr3:uid="{00000000-0010-0000-4C00-00000A000000}" name="car"/>
    <tableColumn id="11" xr3:uid="{00000000-0010-0000-4C00-00000B000000}" name="r_yd"/>
    <tableColumn id="12" xr3:uid="{00000000-0010-0000-4C00-00000C000000}" name="r_td"/>
    <tableColumn id="13" xr3:uid="{00000000-0010-0000-4C00-00000D000000}" name="tgt"/>
    <tableColumn id="14" xr3:uid="{00000000-0010-0000-4C00-00000E000000}" name="rec"/>
    <tableColumn id="15" xr3:uid="{00000000-0010-0000-4C00-00000F000000}" name="rec_yd"/>
    <tableColumn id="16" xr3:uid="{00000000-0010-0000-4C00-000010000000}" name="rec_td"/>
    <tableColumn id="17" xr3:uid="{00000000-0010-0000-4C00-000011000000}" name="fmb"/>
    <tableColumn id="18" xr3:uid="{00000000-0010-0000-4C00-000012000000}" name="tp_c"/>
    <tableColumn id="19" xr3:uid="{00000000-0010-0000-4C00-000013000000}" name="f_ppr"/>
    <tableColumn id="20" xr3:uid="{00000000-0010-0000-4C00-000014000000}" name="tgt_share"/>
    <tableColumn id="21" xr3:uid="{00000000-0010-0000-4C00-000015000000}" name="ypc"/>
    <tableColumn id="22" xr3:uid="{00000000-0010-0000-4C00-000016000000}" name="ypr"/>
    <tableColumn id="23" xr3:uid="{00000000-0010-0000-4C00-000017000000}" name="cmp_pct"/>
    <tableColumn id="24" xr3:uid="{00000000-0010-0000-4C00-000018000000}" name="td_rate"/>
    <tableColumn id="25" xr3:uid="{00000000-0010-0000-4C00-000019000000}" name="f_custom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Table80" displayName="Table80" ref="A30:L31" totalsRowShown="0">
  <autoFilter ref="A30:L31" xr:uid="{00000000-0009-0000-0100-000050000000}"/>
  <tableColumns count="12">
    <tableColumn id="1" xr3:uid="{00000000-0010-0000-4D00-000001000000}" name="team"/>
    <tableColumn id="2" xr3:uid="{00000000-0010-0000-4D00-000002000000}" name="off_yd"/>
    <tableColumn id="3" xr3:uid="{00000000-0010-0000-4D00-000003000000}" name="p_yd"/>
    <tableColumn id="4" xr3:uid="{00000000-0010-0000-4D00-000004000000}" name="car"/>
    <tableColumn id="5" xr3:uid="{00000000-0010-0000-4D00-000005000000}" name="r_yd"/>
    <tableColumn id="6" xr3:uid="{00000000-0010-0000-4D00-000006000000}" name="r_td"/>
    <tableColumn id="7" xr3:uid="{00000000-0010-0000-4D00-000007000000}" name="p_ff"/>
    <tableColumn id="8" xr3:uid="{00000000-0010-0000-4D00-000008000000}" name="p_att"/>
    <tableColumn id="9" xr3:uid="{00000000-0010-0000-4D00-000009000000}" name="cmp_pct"/>
    <tableColumn id="10" xr3:uid="{00000000-0010-0000-4D00-00000A000000}" name="p_td"/>
    <tableColumn id="11" xr3:uid="{00000000-0010-0000-4D00-00000B000000}" name="int"/>
    <tableColumn id="12" xr3:uid="{00000000-0010-0000-4D00-00000C000000}" name="fmb"/>
  </tableColumns>
  <tableStyleInfo name="TableStyleLight9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Table81" displayName="Table81" ref="A32:L33" totalsRowShown="0">
  <autoFilter ref="A32:L33" xr:uid="{00000000-0009-0000-0100-000051000000}"/>
  <tableColumns count="12">
    <tableColumn id="1" xr3:uid="{00000000-0010-0000-4E00-000001000000}" name="team"/>
    <tableColumn id="2" xr3:uid="{00000000-0010-0000-4E00-000002000000}" name="off_yd"/>
    <tableColumn id="3" xr3:uid="{00000000-0010-0000-4E00-000003000000}" name="p_yd"/>
    <tableColumn id="4" xr3:uid="{00000000-0010-0000-4E00-000004000000}" name="car"/>
    <tableColumn id="5" xr3:uid="{00000000-0010-0000-4E00-000005000000}" name="r_yd"/>
    <tableColumn id="6" xr3:uid="{00000000-0010-0000-4E00-000006000000}" name="r_td"/>
    <tableColumn id="7" xr3:uid="{00000000-0010-0000-4E00-000007000000}" name="p_ff"/>
    <tableColumn id="8" xr3:uid="{00000000-0010-0000-4E00-000008000000}" name="p_att"/>
    <tableColumn id="9" xr3:uid="{00000000-0010-0000-4E00-000009000000}" name="cmp_pct"/>
    <tableColumn id="10" xr3:uid="{00000000-0010-0000-4E00-00000A000000}" name="p_td"/>
    <tableColumn id="11" xr3:uid="{00000000-0010-0000-4E00-00000B000000}" name="int"/>
    <tableColumn id="12" xr3:uid="{00000000-0010-0000-4E00-00000C000000}" name="fmb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Table82" displayName="Table82" ref="A35:AB62" totalsRowShown="0">
  <autoFilter ref="A35:AB62" xr:uid="{00000000-0009-0000-0100-000052000000}"/>
  <tableColumns count="28">
    <tableColumn id="1" xr3:uid="{00000000-0010-0000-4F00-000001000000}" name="Name"/>
    <tableColumn id="2" xr3:uid="{00000000-0010-0000-4F00-000002000000}" name="POS"/>
    <tableColumn id="3" xr3:uid="{00000000-0010-0000-4F00-000003000000}" name="Age"/>
    <tableColumn id="4" xr3:uid="{00000000-0010-0000-4F00-000004000000}" name="Exp"/>
    <tableColumn id="5" xr3:uid="{00000000-0010-0000-4F00-000005000000}" name="College"/>
    <tableColumn id="6" xr3:uid="{00000000-0010-0000-4F00-000006000000}" name="team"/>
    <tableColumn id="7" xr3:uid="{00000000-0010-0000-4F00-000007000000}" name="g"/>
    <tableColumn id="8" xr3:uid="{00000000-0010-0000-4F00-000008000000}" name="p_att"/>
    <tableColumn id="9" xr3:uid="{00000000-0010-0000-4F00-000009000000}" name="cmp"/>
    <tableColumn id="10" xr3:uid="{00000000-0010-0000-4F00-00000A000000}" name="p_yd"/>
    <tableColumn id="11" xr3:uid="{00000000-0010-0000-4F00-00000B000000}" name="p_td"/>
    <tableColumn id="12" xr3:uid="{00000000-0010-0000-4F00-00000C000000}" name="int"/>
    <tableColumn id="13" xr3:uid="{00000000-0010-0000-4F00-00000D000000}" name="car"/>
    <tableColumn id="14" xr3:uid="{00000000-0010-0000-4F00-00000E000000}" name="r_yd"/>
    <tableColumn id="15" xr3:uid="{00000000-0010-0000-4F00-00000F000000}" name="r_td"/>
    <tableColumn id="16" xr3:uid="{00000000-0010-0000-4F00-000010000000}" name="tgt"/>
    <tableColumn id="17" xr3:uid="{00000000-0010-0000-4F00-000011000000}" name="rec"/>
    <tableColumn id="18" xr3:uid="{00000000-0010-0000-4F00-000012000000}" name="rec_yd"/>
    <tableColumn id="19" xr3:uid="{00000000-0010-0000-4F00-000013000000}" name="rec_td"/>
    <tableColumn id="20" xr3:uid="{00000000-0010-0000-4F00-000014000000}" name="fmb"/>
    <tableColumn id="21" xr3:uid="{00000000-0010-0000-4F00-000015000000}" name="tp_c"/>
    <tableColumn id="22" xr3:uid="{00000000-0010-0000-4F00-000016000000}" name="f_ppr"/>
    <tableColumn id="23" xr3:uid="{00000000-0010-0000-4F00-000017000000}" name="tgt_share"/>
    <tableColumn id="24" xr3:uid="{00000000-0010-0000-4F00-000018000000}" name="ypc"/>
    <tableColumn id="25" xr3:uid="{00000000-0010-0000-4F00-000019000000}" name="ypr"/>
    <tableColumn id="26" xr3:uid="{00000000-0010-0000-4F00-00001A000000}" name="cmp_pct"/>
    <tableColumn id="27" xr3:uid="{00000000-0010-0000-4F00-00001B000000}" name="td_rate"/>
    <tableColumn id="28" xr3:uid="{00000000-0010-0000-4F00-00001C000000}" name="f_custom"/>
  </tableColumns>
  <tableStyleInfo name="TableStyleLight9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Table83" displayName="Table83" ref="A1:Y17" totalsRowShown="0">
  <autoFilter ref="A1:Y17" xr:uid="{00000000-0009-0000-0100-000053000000}"/>
  <tableColumns count="25">
    <tableColumn id="1" xr3:uid="{00000000-0010-0000-5000-000001000000}" name="player_name"/>
    <tableColumn id="2" xr3:uid="{00000000-0010-0000-5000-000002000000}" name="recent_team"/>
    <tableColumn id="3" xr3:uid="{00000000-0010-0000-5000-000003000000}" name="pos"/>
    <tableColumn id="4" xr3:uid="{00000000-0010-0000-5000-000004000000}" name="g"/>
    <tableColumn id="5" xr3:uid="{00000000-0010-0000-5000-000005000000}" name="p_att"/>
    <tableColumn id="6" xr3:uid="{00000000-0010-0000-5000-000006000000}" name="cmp"/>
    <tableColumn id="7" xr3:uid="{00000000-0010-0000-5000-000007000000}" name="p_yd"/>
    <tableColumn id="8" xr3:uid="{00000000-0010-0000-5000-000008000000}" name="p_td"/>
    <tableColumn id="9" xr3:uid="{00000000-0010-0000-5000-000009000000}" name="int"/>
    <tableColumn id="10" xr3:uid="{00000000-0010-0000-5000-00000A000000}" name="car"/>
    <tableColumn id="11" xr3:uid="{00000000-0010-0000-5000-00000B000000}" name="r_yd"/>
    <tableColumn id="12" xr3:uid="{00000000-0010-0000-5000-00000C000000}" name="r_td"/>
    <tableColumn id="13" xr3:uid="{00000000-0010-0000-5000-00000D000000}" name="tgt"/>
    <tableColumn id="14" xr3:uid="{00000000-0010-0000-5000-00000E000000}" name="rec"/>
    <tableColumn id="15" xr3:uid="{00000000-0010-0000-5000-00000F000000}" name="rec_yd"/>
    <tableColumn id="16" xr3:uid="{00000000-0010-0000-5000-000010000000}" name="rec_td"/>
    <tableColumn id="17" xr3:uid="{00000000-0010-0000-5000-000011000000}" name="fmb"/>
    <tableColumn id="18" xr3:uid="{00000000-0010-0000-5000-000012000000}" name="tp_c"/>
    <tableColumn id="19" xr3:uid="{00000000-0010-0000-5000-000013000000}" name="f_ppr"/>
    <tableColumn id="20" xr3:uid="{00000000-0010-0000-5000-000014000000}" name="tgt_share"/>
    <tableColumn id="21" xr3:uid="{00000000-0010-0000-5000-000015000000}" name="ypc"/>
    <tableColumn id="22" xr3:uid="{00000000-0010-0000-5000-000016000000}" name="ypr"/>
    <tableColumn id="23" xr3:uid="{00000000-0010-0000-5000-000017000000}" name="cmp_pct"/>
    <tableColumn id="24" xr3:uid="{00000000-0010-0000-5000-000018000000}" name="td_rate"/>
    <tableColumn id="25" xr3:uid="{00000000-0010-0000-5000-000019000000}" name="f_custom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Table84" displayName="Table84" ref="A30:L31" totalsRowShown="0">
  <autoFilter ref="A30:L31" xr:uid="{00000000-0009-0000-0100-000054000000}"/>
  <tableColumns count="12">
    <tableColumn id="1" xr3:uid="{00000000-0010-0000-5100-000001000000}" name="team"/>
    <tableColumn id="2" xr3:uid="{00000000-0010-0000-5100-000002000000}" name="off_yd"/>
    <tableColumn id="3" xr3:uid="{00000000-0010-0000-5100-000003000000}" name="p_yd"/>
    <tableColumn id="4" xr3:uid="{00000000-0010-0000-5100-000004000000}" name="car"/>
    <tableColumn id="5" xr3:uid="{00000000-0010-0000-5100-000005000000}" name="r_yd"/>
    <tableColumn id="6" xr3:uid="{00000000-0010-0000-5100-000006000000}" name="r_td"/>
    <tableColumn id="7" xr3:uid="{00000000-0010-0000-5100-000007000000}" name="p_ff"/>
    <tableColumn id="8" xr3:uid="{00000000-0010-0000-5100-000008000000}" name="p_att"/>
    <tableColumn id="9" xr3:uid="{00000000-0010-0000-5100-000009000000}" name="cmp_pct"/>
    <tableColumn id="10" xr3:uid="{00000000-0010-0000-5100-00000A000000}" name="p_td"/>
    <tableColumn id="11" xr3:uid="{00000000-0010-0000-5100-00000B000000}" name="int"/>
    <tableColumn id="12" xr3:uid="{00000000-0010-0000-5100-00000C000000}" name="fmb"/>
  </tableColumns>
  <tableStyleInfo name="TableStyleLight9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Table85" displayName="Table85" ref="A32:L33" totalsRowShown="0">
  <autoFilter ref="A32:L33" xr:uid="{00000000-0009-0000-0100-000055000000}"/>
  <tableColumns count="12">
    <tableColumn id="1" xr3:uid="{00000000-0010-0000-5200-000001000000}" name="team"/>
    <tableColumn id="2" xr3:uid="{00000000-0010-0000-5200-000002000000}" name="off_yd"/>
    <tableColumn id="3" xr3:uid="{00000000-0010-0000-5200-000003000000}" name="p_yd"/>
    <tableColumn id="4" xr3:uid="{00000000-0010-0000-5200-000004000000}" name="car"/>
    <tableColumn id="5" xr3:uid="{00000000-0010-0000-5200-000005000000}" name="r_yd"/>
    <tableColumn id="6" xr3:uid="{00000000-0010-0000-5200-000006000000}" name="r_td"/>
    <tableColumn id="7" xr3:uid="{00000000-0010-0000-5200-000007000000}" name="p_ff"/>
    <tableColumn id="8" xr3:uid="{00000000-0010-0000-5200-000008000000}" name="p_att"/>
    <tableColumn id="9" xr3:uid="{00000000-0010-0000-5200-000009000000}" name="cmp_pct"/>
    <tableColumn id="10" xr3:uid="{00000000-0010-0000-5200-00000A000000}" name="p_td"/>
    <tableColumn id="11" xr3:uid="{00000000-0010-0000-5200-00000B000000}" name="int"/>
    <tableColumn id="12" xr3:uid="{00000000-0010-0000-5200-00000C000000}" name="fmb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Table86" displayName="Table86" ref="A35:AB60" totalsRowShown="0">
  <autoFilter ref="A35:AB60" xr:uid="{00000000-0009-0000-0100-000056000000}"/>
  <tableColumns count="28">
    <tableColumn id="1" xr3:uid="{00000000-0010-0000-5300-000001000000}" name="Name"/>
    <tableColumn id="2" xr3:uid="{00000000-0010-0000-5300-000002000000}" name="POS"/>
    <tableColumn id="3" xr3:uid="{00000000-0010-0000-5300-000003000000}" name="Age"/>
    <tableColumn id="4" xr3:uid="{00000000-0010-0000-5300-000004000000}" name="Exp"/>
    <tableColumn id="5" xr3:uid="{00000000-0010-0000-5300-000005000000}" name="College"/>
    <tableColumn id="6" xr3:uid="{00000000-0010-0000-5300-000006000000}" name="team"/>
    <tableColumn id="7" xr3:uid="{00000000-0010-0000-5300-000007000000}" name="g"/>
    <tableColumn id="8" xr3:uid="{00000000-0010-0000-5300-000008000000}" name="p_att"/>
    <tableColumn id="9" xr3:uid="{00000000-0010-0000-5300-000009000000}" name="cmp"/>
    <tableColumn id="10" xr3:uid="{00000000-0010-0000-5300-00000A000000}" name="p_yd"/>
    <tableColumn id="11" xr3:uid="{00000000-0010-0000-5300-00000B000000}" name="p_td"/>
    <tableColumn id="12" xr3:uid="{00000000-0010-0000-5300-00000C000000}" name="int"/>
    <tableColumn id="13" xr3:uid="{00000000-0010-0000-5300-00000D000000}" name="car"/>
    <tableColumn id="14" xr3:uid="{00000000-0010-0000-5300-00000E000000}" name="r_yd"/>
    <tableColumn id="15" xr3:uid="{00000000-0010-0000-5300-00000F000000}" name="r_td"/>
    <tableColumn id="16" xr3:uid="{00000000-0010-0000-5300-000010000000}" name="tgt"/>
    <tableColumn id="17" xr3:uid="{00000000-0010-0000-5300-000011000000}" name="rec"/>
    <tableColumn id="18" xr3:uid="{00000000-0010-0000-5300-000012000000}" name="rec_yd"/>
    <tableColumn id="19" xr3:uid="{00000000-0010-0000-5300-000013000000}" name="rec_td"/>
    <tableColumn id="20" xr3:uid="{00000000-0010-0000-5300-000014000000}" name="fmb"/>
    <tableColumn id="21" xr3:uid="{00000000-0010-0000-5300-000015000000}" name="tp_c"/>
    <tableColumn id="22" xr3:uid="{00000000-0010-0000-5300-000016000000}" name="f_ppr"/>
    <tableColumn id="23" xr3:uid="{00000000-0010-0000-5300-000017000000}" name="tgt_share"/>
    <tableColumn id="24" xr3:uid="{00000000-0010-0000-5300-000018000000}" name="ypc"/>
    <tableColumn id="25" xr3:uid="{00000000-0010-0000-5300-000019000000}" name="ypr"/>
    <tableColumn id="26" xr3:uid="{00000000-0010-0000-5300-00001A000000}" name="cmp_pct"/>
    <tableColumn id="27" xr3:uid="{00000000-0010-0000-5300-00001B000000}" name="td_rate"/>
    <tableColumn id="28" xr3:uid="{00000000-0010-0000-5300-00001C000000}" name="f_custom"/>
  </tableColumns>
  <tableStyleInfo name="TableStyleLight9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Table87" displayName="Table87" ref="A1:Y18" totalsRowShown="0">
  <autoFilter ref="A1:Y18" xr:uid="{00000000-0009-0000-0100-000057000000}"/>
  <tableColumns count="25">
    <tableColumn id="1" xr3:uid="{00000000-0010-0000-5400-000001000000}" name="player_name"/>
    <tableColumn id="2" xr3:uid="{00000000-0010-0000-5400-000002000000}" name="recent_team"/>
    <tableColumn id="3" xr3:uid="{00000000-0010-0000-5400-000003000000}" name="pos"/>
    <tableColumn id="4" xr3:uid="{00000000-0010-0000-5400-000004000000}" name="g"/>
    <tableColumn id="5" xr3:uid="{00000000-0010-0000-5400-000005000000}" name="p_att"/>
    <tableColumn id="6" xr3:uid="{00000000-0010-0000-5400-000006000000}" name="cmp"/>
    <tableColumn id="7" xr3:uid="{00000000-0010-0000-5400-000007000000}" name="p_yd"/>
    <tableColumn id="8" xr3:uid="{00000000-0010-0000-5400-000008000000}" name="p_td"/>
    <tableColumn id="9" xr3:uid="{00000000-0010-0000-5400-000009000000}" name="int"/>
    <tableColumn id="10" xr3:uid="{00000000-0010-0000-5400-00000A000000}" name="car"/>
    <tableColumn id="11" xr3:uid="{00000000-0010-0000-5400-00000B000000}" name="r_yd"/>
    <tableColumn id="12" xr3:uid="{00000000-0010-0000-5400-00000C000000}" name="r_td"/>
    <tableColumn id="13" xr3:uid="{00000000-0010-0000-5400-00000D000000}" name="tgt"/>
    <tableColumn id="14" xr3:uid="{00000000-0010-0000-5400-00000E000000}" name="rec"/>
    <tableColumn id="15" xr3:uid="{00000000-0010-0000-5400-00000F000000}" name="rec_yd"/>
    <tableColumn id="16" xr3:uid="{00000000-0010-0000-5400-000010000000}" name="rec_td"/>
    <tableColumn id="17" xr3:uid="{00000000-0010-0000-5400-000011000000}" name="fmb"/>
    <tableColumn id="18" xr3:uid="{00000000-0010-0000-5400-000012000000}" name="tp_c"/>
    <tableColumn id="19" xr3:uid="{00000000-0010-0000-5400-000013000000}" name="f_ppr"/>
    <tableColumn id="20" xr3:uid="{00000000-0010-0000-5400-000014000000}" name="tgt_share"/>
    <tableColumn id="21" xr3:uid="{00000000-0010-0000-5400-000015000000}" name="ypc"/>
    <tableColumn id="22" xr3:uid="{00000000-0010-0000-5400-000016000000}" name="ypr"/>
    <tableColumn id="23" xr3:uid="{00000000-0010-0000-5400-000017000000}" name="cmp_pct"/>
    <tableColumn id="24" xr3:uid="{00000000-0010-0000-5400-000018000000}" name="td_rate"/>
    <tableColumn id="25" xr3:uid="{00000000-0010-0000-5400-000019000000}" name="f_custom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Table88" displayName="Table88" ref="A30:L31" totalsRowShown="0">
  <autoFilter ref="A30:L31" xr:uid="{00000000-0009-0000-0100-000058000000}"/>
  <tableColumns count="12">
    <tableColumn id="1" xr3:uid="{00000000-0010-0000-5500-000001000000}" name="team"/>
    <tableColumn id="2" xr3:uid="{00000000-0010-0000-5500-000002000000}" name="off_yd"/>
    <tableColumn id="3" xr3:uid="{00000000-0010-0000-5500-000003000000}" name="p_yd"/>
    <tableColumn id="4" xr3:uid="{00000000-0010-0000-5500-000004000000}" name="car"/>
    <tableColumn id="5" xr3:uid="{00000000-0010-0000-5500-000005000000}" name="r_yd"/>
    <tableColumn id="6" xr3:uid="{00000000-0010-0000-5500-000006000000}" name="r_td"/>
    <tableColumn id="7" xr3:uid="{00000000-0010-0000-5500-000007000000}" name="p_ff"/>
    <tableColumn id="8" xr3:uid="{00000000-0010-0000-5500-000008000000}" name="p_att"/>
    <tableColumn id="9" xr3:uid="{00000000-0010-0000-5500-000009000000}" name="cmp_pct"/>
    <tableColumn id="10" xr3:uid="{00000000-0010-0000-5500-00000A000000}" name="p_td"/>
    <tableColumn id="11" xr3:uid="{00000000-0010-0000-5500-00000B000000}" name="int"/>
    <tableColumn id="12" xr3:uid="{00000000-0010-0000-5500-00000C000000}" name="fmb"/>
  </tableColumns>
  <tableStyleInfo name="TableStyleLight9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Table89" displayName="Table89" ref="A32:L33" totalsRowShown="0">
  <autoFilter ref="A32:L33" xr:uid="{00000000-0009-0000-0100-000059000000}"/>
  <tableColumns count="12">
    <tableColumn id="1" xr3:uid="{00000000-0010-0000-5600-000001000000}" name="team"/>
    <tableColumn id="2" xr3:uid="{00000000-0010-0000-5600-000002000000}" name="off_yd"/>
    <tableColumn id="3" xr3:uid="{00000000-0010-0000-5600-000003000000}" name="p_yd"/>
    <tableColumn id="4" xr3:uid="{00000000-0010-0000-5600-000004000000}" name="car"/>
    <tableColumn id="5" xr3:uid="{00000000-0010-0000-5600-000005000000}" name="r_yd"/>
    <tableColumn id="6" xr3:uid="{00000000-0010-0000-5600-000006000000}" name="r_td"/>
    <tableColumn id="7" xr3:uid="{00000000-0010-0000-5600-000007000000}" name="p_ff"/>
    <tableColumn id="8" xr3:uid="{00000000-0010-0000-5600-000008000000}" name="p_att"/>
    <tableColumn id="9" xr3:uid="{00000000-0010-0000-5600-000009000000}" name="cmp_pct"/>
    <tableColumn id="10" xr3:uid="{00000000-0010-0000-5600-00000A000000}" name="p_td"/>
    <tableColumn id="11" xr3:uid="{00000000-0010-0000-5600-00000B000000}" name="int"/>
    <tableColumn id="12" xr3:uid="{00000000-0010-0000-5600-00000C000000}" name="fmb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Table90" displayName="Table90" ref="A35:AB60" totalsRowShown="0">
  <autoFilter ref="A35:AB60" xr:uid="{00000000-0009-0000-0100-00005A000000}"/>
  <tableColumns count="28">
    <tableColumn id="1" xr3:uid="{00000000-0010-0000-5700-000001000000}" name="Name"/>
    <tableColumn id="2" xr3:uid="{00000000-0010-0000-5700-000002000000}" name="POS"/>
    <tableColumn id="3" xr3:uid="{00000000-0010-0000-5700-000003000000}" name="Age"/>
    <tableColumn id="4" xr3:uid="{00000000-0010-0000-5700-000004000000}" name="Exp"/>
    <tableColumn id="5" xr3:uid="{00000000-0010-0000-5700-000005000000}" name="College"/>
    <tableColumn id="6" xr3:uid="{00000000-0010-0000-5700-000006000000}" name="team"/>
    <tableColumn id="7" xr3:uid="{00000000-0010-0000-5700-000007000000}" name="g"/>
    <tableColumn id="8" xr3:uid="{00000000-0010-0000-5700-000008000000}" name="p_att"/>
    <tableColumn id="9" xr3:uid="{00000000-0010-0000-5700-000009000000}" name="cmp"/>
    <tableColumn id="10" xr3:uid="{00000000-0010-0000-5700-00000A000000}" name="p_yd"/>
    <tableColumn id="11" xr3:uid="{00000000-0010-0000-5700-00000B000000}" name="p_td"/>
    <tableColumn id="12" xr3:uid="{00000000-0010-0000-5700-00000C000000}" name="int"/>
    <tableColumn id="13" xr3:uid="{00000000-0010-0000-5700-00000D000000}" name="car"/>
    <tableColumn id="14" xr3:uid="{00000000-0010-0000-5700-00000E000000}" name="r_yd"/>
    <tableColumn id="15" xr3:uid="{00000000-0010-0000-5700-00000F000000}" name="r_td"/>
    <tableColumn id="16" xr3:uid="{00000000-0010-0000-5700-000010000000}" name="tgt"/>
    <tableColumn id="17" xr3:uid="{00000000-0010-0000-5700-000011000000}" name="rec"/>
    <tableColumn id="18" xr3:uid="{00000000-0010-0000-5700-000012000000}" name="rec_yd"/>
    <tableColumn id="19" xr3:uid="{00000000-0010-0000-5700-000013000000}" name="rec_td"/>
    <tableColumn id="20" xr3:uid="{00000000-0010-0000-5700-000014000000}" name="fmb"/>
    <tableColumn id="21" xr3:uid="{00000000-0010-0000-5700-000015000000}" name="tp_c"/>
    <tableColumn id="22" xr3:uid="{00000000-0010-0000-5700-000016000000}" name="f_ppr"/>
    <tableColumn id="23" xr3:uid="{00000000-0010-0000-5700-000017000000}" name="tgt_share"/>
    <tableColumn id="24" xr3:uid="{00000000-0010-0000-5700-000018000000}" name="ypc"/>
    <tableColumn id="25" xr3:uid="{00000000-0010-0000-5700-000019000000}" name="ypr"/>
    <tableColumn id="26" xr3:uid="{00000000-0010-0000-5700-00001A000000}" name="cmp_pct"/>
    <tableColumn id="27" xr3:uid="{00000000-0010-0000-5700-00001B000000}" name="td_rate"/>
    <tableColumn id="28" xr3:uid="{00000000-0010-0000-5700-00001C000000}" name="f_custom"/>
  </tableColumns>
  <tableStyleInfo name="TableStyleLight9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Table91" displayName="Table91" ref="A1:Y25" totalsRowShown="0">
  <autoFilter ref="A1:Y25" xr:uid="{00000000-0009-0000-0100-00005B000000}"/>
  <tableColumns count="25">
    <tableColumn id="1" xr3:uid="{00000000-0010-0000-5800-000001000000}" name="player_name"/>
    <tableColumn id="2" xr3:uid="{00000000-0010-0000-5800-000002000000}" name="recent_team"/>
    <tableColumn id="3" xr3:uid="{00000000-0010-0000-5800-000003000000}" name="pos"/>
    <tableColumn id="4" xr3:uid="{00000000-0010-0000-5800-000004000000}" name="g"/>
    <tableColumn id="5" xr3:uid="{00000000-0010-0000-5800-000005000000}" name="p_att"/>
    <tableColumn id="6" xr3:uid="{00000000-0010-0000-5800-000006000000}" name="cmp"/>
    <tableColumn id="7" xr3:uid="{00000000-0010-0000-5800-000007000000}" name="p_yd"/>
    <tableColumn id="8" xr3:uid="{00000000-0010-0000-5800-000008000000}" name="p_td"/>
    <tableColumn id="9" xr3:uid="{00000000-0010-0000-5800-000009000000}" name="int"/>
    <tableColumn id="10" xr3:uid="{00000000-0010-0000-5800-00000A000000}" name="car"/>
    <tableColumn id="11" xr3:uid="{00000000-0010-0000-5800-00000B000000}" name="r_yd"/>
    <tableColumn id="12" xr3:uid="{00000000-0010-0000-5800-00000C000000}" name="r_td"/>
    <tableColumn id="13" xr3:uid="{00000000-0010-0000-5800-00000D000000}" name="tgt"/>
    <tableColumn id="14" xr3:uid="{00000000-0010-0000-5800-00000E000000}" name="rec"/>
    <tableColumn id="15" xr3:uid="{00000000-0010-0000-5800-00000F000000}" name="rec_yd"/>
    <tableColumn id="16" xr3:uid="{00000000-0010-0000-5800-000010000000}" name="rec_td"/>
    <tableColumn id="17" xr3:uid="{00000000-0010-0000-5800-000011000000}" name="fmb"/>
    <tableColumn id="18" xr3:uid="{00000000-0010-0000-5800-000012000000}" name="tp_c"/>
    <tableColumn id="19" xr3:uid="{00000000-0010-0000-5800-000013000000}" name="f_ppr"/>
    <tableColumn id="20" xr3:uid="{00000000-0010-0000-5800-000014000000}" name="tgt_share"/>
    <tableColumn id="21" xr3:uid="{00000000-0010-0000-5800-000015000000}" name="ypc"/>
    <tableColumn id="22" xr3:uid="{00000000-0010-0000-5800-000016000000}" name="ypr"/>
    <tableColumn id="23" xr3:uid="{00000000-0010-0000-5800-000017000000}" name="cmp_pct"/>
    <tableColumn id="24" xr3:uid="{00000000-0010-0000-5800-000018000000}" name="td_rate"/>
    <tableColumn id="25" xr3:uid="{00000000-0010-0000-5800-000019000000}" name="f_custom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Table92" displayName="Table92" ref="A30:L31" totalsRowShown="0">
  <autoFilter ref="A30:L31" xr:uid="{00000000-0009-0000-0100-00005C000000}"/>
  <tableColumns count="12">
    <tableColumn id="1" xr3:uid="{00000000-0010-0000-5900-000001000000}" name="team"/>
    <tableColumn id="2" xr3:uid="{00000000-0010-0000-5900-000002000000}" name="off_yd"/>
    <tableColumn id="3" xr3:uid="{00000000-0010-0000-5900-000003000000}" name="p_yd"/>
    <tableColumn id="4" xr3:uid="{00000000-0010-0000-5900-000004000000}" name="car"/>
    <tableColumn id="5" xr3:uid="{00000000-0010-0000-5900-000005000000}" name="r_yd"/>
    <tableColumn id="6" xr3:uid="{00000000-0010-0000-5900-000006000000}" name="r_td"/>
    <tableColumn id="7" xr3:uid="{00000000-0010-0000-5900-000007000000}" name="p_ff"/>
    <tableColumn id="8" xr3:uid="{00000000-0010-0000-5900-000008000000}" name="p_att"/>
    <tableColumn id="9" xr3:uid="{00000000-0010-0000-5900-000009000000}" name="cmp_pct"/>
    <tableColumn id="10" xr3:uid="{00000000-0010-0000-5900-00000A000000}" name="p_td"/>
    <tableColumn id="11" xr3:uid="{00000000-0010-0000-5900-00000B000000}" name="int"/>
    <tableColumn id="12" xr3:uid="{00000000-0010-0000-5900-00000C000000}" name="fmb"/>
  </tableColumns>
  <tableStyleInfo name="TableStyleLight9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Table93" displayName="Table93" ref="A32:L33" totalsRowShown="0">
  <autoFilter ref="A32:L33" xr:uid="{00000000-0009-0000-0100-00005D000000}"/>
  <tableColumns count="12">
    <tableColumn id="1" xr3:uid="{00000000-0010-0000-5A00-000001000000}" name="team"/>
    <tableColumn id="2" xr3:uid="{00000000-0010-0000-5A00-000002000000}" name="off_yd"/>
    <tableColumn id="3" xr3:uid="{00000000-0010-0000-5A00-000003000000}" name="p_yd"/>
    <tableColumn id="4" xr3:uid="{00000000-0010-0000-5A00-000004000000}" name="car"/>
    <tableColumn id="5" xr3:uid="{00000000-0010-0000-5A00-000005000000}" name="r_yd"/>
    <tableColumn id="6" xr3:uid="{00000000-0010-0000-5A00-000006000000}" name="r_td"/>
    <tableColumn id="7" xr3:uid="{00000000-0010-0000-5A00-000007000000}" name="p_ff"/>
    <tableColumn id="8" xr3:uid="{00000000-0010-0000-5A00-000008000000}" name="p_att"/>
    <tableColumn id="9" xr3:uid="{00000000-0010-0000-5A00-000009000000}" name="cmp_pct"/>
    <tableColumn id="10" xr3:uid="{00000000-0010-0000-5A00-00000A000000}" name="p_td"/>
    <tableColumn id="11" xr3:uid="{00000000-0010-0000-5A00-00000B000000}" name="int"/>
    <tableColumn id="12" xr3:uid="{00000000-0010-0000-5A00-00000C000000}" name="fmb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Table94" displayName="Table94" ref="A35:AB63" totalsRowShown="0">
  <autoFilter ref="A35:AB63" xr:uid="{00000000-0009-0000-0100-00005E000000}"/>
  <tableColumns count="28">
    <tableColumn id="1" xr3:uid="{00000000-0010-0000-5B00-000001000000}" name="Name"/>
    <tableColumn id="2" xr3:uid="{00000000-0010-0000-5B00-000002000000}" name="POS"/>
    <tableColumn id="3" xr3:uid="{00000000-0010-0000-5B00-000003000000}" name="Age"/>
    <tableColumn id="4" xr3:uid="{00000000-0010-0000-5B00-000004000000}" name="Exp"/>
    <tableColumn id="5" xr3:uid="{00000000-0010-0000-5B00-000005000000}" name="College"/>
    <tableColumn id="6" xr3:uid="{00000000-0010-0000-5B00-000006000000}" name="team"/>
    <tableColumn id="7" xr3:uid="{00000000-0010-0000-5B00-000007000000}" name="g"/>
    <tableColumn id="8" xr3:uid="{00000000-0010-0000-5B00-000008000000}" name="p_att"/>
    <tableColumn id="9" xr3:uid="{00000000-0010-0000-5B00-000009000000}" name="cmp"/>
    <tableColumn id="10" xr3:uid="{00000000-0010-0000-5B00-00000A000000}" name="p_yd"/>
    <tableColumn id="11" xr3:uid="{00000000-0010-0000-5B00-00000B000000}" name="p_td"/>
    <tableColumn id="12" xr3:uid="{00000000-0010-0000-5B00-00000C000000}" name="int"/>
    <tableColumn id="13" xr3:uid="{00000000-0010-0000-5B00-00000D000000}" name="car"/>
    <tableColumn id="14" xr3:uid="{00000000-0010-0000-5B00-00000E000000}" name="r_yd"/>
    <tableColumn id="15" xr3:uid="{00000000-0010-0000-5B00-00000F000000}" name="r_td"/>
    <tableColumn id="16" xr3:uid="{00000000-0010-0000-5B00-000010000000}" name="tgt"/>
    <tableColumn id="17" xr3:uid="{00000000-0010-0000-5B00-000011000000}" name="rec"/>
    <tableColumn id="18" xr3:uid="{00000000-0010-0000-5B00-000012000000}" name="rec_yd"/>
    <tableColumn id="19" xr3:uid="{00000000-0010-0000-5B00-000013000000}" name="rec_td"/>
    <tableColumn id="20" xr3:uid="{00000000-0010-0000-5B00-000014000000}" name="fmb"/>
    <tableColumn id="21" xr3:uid="{00000000-0010-0000-5B00-000015000000}" name="tp_c"/>
    <tableColumn id="22" xr3:uid="{00000000-0010-0000-5B00-000016000000}" name="f_ppr"/>
    <tableColumn id="23" xr3:uid="{00000000-0010-0000-5B00-000017000000}" name="tgt_share"/>
    <tableColumn id="24" xr3:uid="{00000000-0010-0000-5B00-000018000000}" name="ypc"/>
    <tableColumn id="25" xr3:uid="{00000000-0010-0000-5B00-000019000000}" name="ypr"/>
    <tableColumn id="26" xr3:uid="{00000000-0010-0000-5B00-00001A000000}" name="cmp_pct"/>
    <tableColumn id="27" xr3:uid="{00000000-0010-0000-5B00-00001B000000}" name="td_rate"/>
    <tableColumn id="28" xr3:uid="{00000000-0010-0000-5B00-00001C000000}" name="f_custom"/>
  </tableColumns>
  <tableStyleInfo name="TableStyleLight9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Table95" displayName="Table95" ref="A1:Y21" totalsRowShown="0">
  <autoFilter ref="A1:Y21" xr:uid="{00000000-0009-0000-0100-00005F000000}"/>
  <tableColumns count="25">
    <tableColumn id="1" xr3:uid="{00000000-0010-0000-5C00-000001000000}" name="player_name"/>
    <tableColumn id="2" xr3:uid="{00000000-0010-0000-5C00-000002000000}" name="recent_team"/>
    <tableColumn id="3" xr3:uid="{00000000-0010-0000-5C00-000003000000}" name="pos"/>
    <tableColumn id="4" xr3:uid="{00000000-0010-0000-5C00-000004000000}" name="g"/>
    <tableColumn id="5" xr3:uid="{00000000-0010-0000-5C00-000005000000}" name="p_att"/>
    <tableColumn id="6" xr3:uid="{00000000-0010-0000-5C00-000006000000}" name="cmp"/>
    <tableColumn id="7" xr3:uid="{00000000-0010-0000-5C00-000007000000}" name="p_yd"/>
    <tableColumn id="8" xr3:uid="{00000000-0010-0000-5C00-000008000000}" name="p_td"/>
    <tableColumn id="9" xr3:uid="{00000000-0010-0000-5C00-000009000000}" name="int"/>
    <tableColumn id="10" xr3:uid="{00000000-0010-0000-5C00-00000A000000}" name="car"/>
    <tableColumn id="11" xr3:uid="{00000000-0010-0000-5C00-00000B000000}" name="r_yd"/>
    <tableColumn id="12" xr3:uid="{00000000-0010-0000-5C00-00000C000000}" name="r_td"/>
    <tableColumn id="13" xr3:uid="{00000000-0010-0000-5C00-00000D000000}" name="tgt"/>
    <tableColumn id="14" xr3:uid="{00000000-0010-0000-5C00-00000E000000}" name="rec"/>
    <tableColumn id="15" xr3:uid="{00000000-0010-0000-5C00-00000F000000}" name="rec_yd"/>
    <tableColumn id="16" xr3:uid="{00000000-0010-0000-5C00-000010000000}" name="rec_td"/>
    <tableColumn id="17" xr3:uid="{00000000-0010-0000-5C00-000011000000}" name="fmb"/>
    <tableColumn id="18" xr3:uid="{00000000-0010-0000-5C00-000012000000}" name="tp_c"/>
    <tableColumn id="19" xr3:uid="{00000000-0010-0000-5C00-000013000000}" name="f_ppr"/>
    <tableColumn id="20" xr3:uid="{00000000-0010-0000-5C00-000014000000}" name="tgt_share"/>
    <tableColumn id="21" xr3:uid="{00000000-0010-0000-5C00-000015000000}" name="ypc"/>
    <tableColumn id="22" xr3:uid="{00000000-0010-0000-5C00-000016000000}" name="ypr"/>
    <tableColumn id="23" xr3:uid="{00000000-0010-0000-5C00-000017000000}" name="cmp_pct"/>
    <tableColumn id="24" xr3:uid="{00000000-0010-0000-5C00-000018000000}" name="td_rate"/>
    <tableColumn id="25" xr3:uid="{00000000-0010-0000-5C00-000019000000}" name="f_custom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Table96" displayName="Table96" ref="A30:L31" totalsRowShown="0">
  <autoFilter ref="A30:L31" xr:uid="{00000000-0009-0000-0100-000060000000}"/>
  <tableColumns count="12">
    <tableColumn id="1" xr3:uid="{00000000-0010-0000-5D00-000001000000}" name="team"/>
    <tableColumn id="2" xr3:uid="{00000000-0010-0000-5D00-000002000000}" name="off_yd"/>
    <tableColumn id="3" xr3:uid="{00000000-0010-0000-5D00-000003000000}" name="p_yd"/>
    <tableColumn id="4" xr3:uid="{00000000-0010-0000-5D00-000004000000}" name="car"/>
    <tableColumn id="5" xr3:uid="{00000000-0010-0000-5D00-000005000000}" name="r_yd"/>
    <tableColumn id="6" xr3:uid="{00000000-0010-0000-5D00-000006000000}" name="r_td"/>
    <tableColumn id="7" xr3:uid="{00000000-0010-0000-5D00-000007000000}" name="p_ff"/>
    <tableColumn id="8" xr3:uid="{00000000-0010-0000-5D00-000008000000}" name="p_att"/>
    <tableColumn id="9" xr3:uid="{00000000-0010-0000-5D00-000009000000}" name="cmp_pct"/>
    <tableColumn id="10" xr3:uid="{00000000-0010-0000-5D00-00000A000000}" name="p_td"/>
    <tableColumn id="11" xr3:uid="{00000000-0010-0000-5D00-00000B000000}" name="int"/>
    <tableColumn id="12" xr3:uid="{00000000-0010-0000-5D00-00000C000000}" name="fmb"/>
  </tableColumns>
  <tableStyleInfo name="TableStyleLight9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Table97" displayName="Table97" ref="A32:L33" totalsRowShown="0">
  <autoFilter ref="A32:L33" xr:uid="{00000000-0009-0000-0100-000061000000}"/>
  <tableColumns count="12">
    <tableColumn id="1" xr3:uid="{00000000-0010-0000-5E00-000001000000}" name="team"/>
    <tableColumn id="2" xr3:uid="{00000000-0010-0000-5E00-000002000000}" name="off_yd"/>
    <tableColumn id="3" xr3:uid="{00000000-0010-0000-5E00-000003000000}" name="p_yd"/>
    <tableColumn id="4" xr3:uid="{00000000-0010-0000-5E00-000004000000}" name="car"/>
    <tableColumn id="5" xr3:uid="{00000000-0010-0000-5E00-000005000000}" name="r_yd"/>
    <tableColumn id="6" xr3:uid="{00000000-0010-0000-5E00-000006000000}" name="r_td"/>
    <tableColumn id="7" xr3:uid="{00000000-0010-0000-5E00-000007000000}" name="p_ff"/>
    <tableColumn id="8" xr3:uid="{00000000-0010-0000-5E00-000008000000}" name="p_att"/>
    <tableColumn id="9" xr3:uid="{00000000-0010-0000-5E00-000009000000}" name="cmp_pct"/>
    <tableColumn id="10" xr3:uid="{00000000-0010-0000-5E00-00000A000000}" name="p_td"/>
    <tableColumn id="11" xr3:uid="{00000000-0010-0000-5E00-00000B000000}" name="int"/>
    <tableColumn id="12" xr3:uid="{00000000-0010-0000-5E00-00000C000000}" name="fmb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Table98" displayName="Table98" ref="A35:AB62" totalsRowShown="0">
  <autoFilter ref="A35:AB62" xr:uid="{00000000-0009-0000-0100-000062000000}"/>
  <tableColumns count="28">
    <tableColumn id="1" xr3:uid="{00000000-0010-0000-5F00-000001000000}" name="Name"/>
    <tableColumn id="2" xr3:uid="{00000000-0010-0000-5F00-000002000000}" name="POS"/>
    <tableColumn id="3" xr3:uid="{00000000-0010-0000-5F00-000003000000}" name="Age"/>
    <tableColumn id="4" xr3:uid="{00000000-0010-0000-5F00-000004000000}" name="Exp"/>
    <tableColumn id="5" xr3:uid="{00000000-0010-0000-5F00-000005000000}" name="College"/>
    <tableColumn id="6" xr3:uid="{00000000-0010-0000-5F00-000006000000}" name="team"/>
    <tableColumn id="7" xr3:uid="{00000000-0010-0000-5F00-000007000000}" name="g"/>
    <tableColumn id="8" xr3:uid="{00000000-0010-0000-5F00-000008000000}" name="p_att"/>
    <tableColumn id="9" xr3:uid="{00000000-0010-0000-5F00-000009000000}" name="cmp"/>
    <tableColumn id="10" xr3:uid="{00000000-0010-0000-5F00-00000A000000}" name="p_yd"/>
    <tableColumn id="11" xr3:uid="{00000000-0010-0000-5F00-00000B000000}" name="p_td"/>
    <tableColumn id="12" xr3:uid="{00000000-0010-0000-5F00-00000C000000}" name="int"/>
    <tableColumn id="13" xr3:uid="{00000000-0010-0000-5F00-00000D000000}" name="car"/>
    <tableColumn id="14" xr3:uid="{00000000-0010-0000-5F00-00000E000000}" name="r_yd"/>
    <tableColumn id="15" xr3:uid="{00000000-0010-0000-5F00-00000F000000}" name="r_td"/>
    <tableColumn id="16" xr3:uid="{00000000-0010-0000-5F00-000010000000}" name="tgt"/>
    <tableColumn id="17" xr3:uid="{00000000-0010-0000-5F00-000011000000}" name="rec"/>
    <tableColumn id="18" xr3:uid="{00000000-0010-0000-5F00-000012000000}" name="rec_yd"/>
    <tableColumn id="19" xr3:uid="{00000000-0010-0000-5F00-000013000000}" name="rec_td"/>
    <tableColumn id="20" xr3:uid="{00000000-0010-0000-5F00-000014000000}" name="fmb"/>
    <tableColumn id="21" xr3:uid="{00000000-0010-0000-5F00-000015000000}" name="tp_c"/>
    <tableColumn id="22" xr3:uid="{00000000-0010-0000-5F00-000016000000}" name="f_ppr"/>
    <tableColumn id="23" xr3:uid="{00000000-0010-0000-5F00-000017000000}" name="tgt_share"/>
    <tableColumn id="24" xr3:uid="{00000000-0010-0000-5F00-000018000000}" name="ypc"/>
    <tableColumn id="25" xr3:uid="{00000000-0010-0000-5F00-000019000000}" name="ypr"/>
    <tableColumn id="26" xr3:uid="{00000000-0010-0000-5F00-00001A000000}" name="cmp_pct"/>
    <tableColumn id="27" xr3:uid="{00000000-0010-0000-5F00-00001B000000}" name="td_rate"/>
    <tableColumn id="28" xr3:uid="{00000000-0010-0000-5F00-00001C000000}" name="f_custom"/>
  </tableColumns>
  <tableStyleInfo name="TableStyleLight9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Table99" displayName="Table99" ref="A1:Y20" totalsRowShown="0">
  <autoFilter ref="A1:Y20" xr:uid="{00000000-0009-0000-0100-000063000000}"/>
  <tableColumns count="25">
    <tableColumn id="1" xr3:uid="{00000000-0010-0000-6000-000001000000}" name="player_name"/>
    <tableColumn id="2" xr3:uid="{00000000-0010-0000-6000-000002000000}" name="recent_team"/>
    <tableColumn id="3" xr3:uid="{00000000-0010-0000-6000-000003000000}" name="pos"/>
    <tableColumn id="4" xr3:uid="{00000000-0010-0000-6000-000004000000}" name="g"/>
    <tableColumn id="5" xr3:uid="{00000000-0010-0000-6000-000005000000}" name="p_att"/>
    <tableColumn id="6" xr3:uid="{00000000-0010-0000-6000-000006000000}" name="cmp"/>
    <tableColumn id="7" xr3:uid="{00000000-0010-0000-6000-000007000000}" name="p_yd"/>
    <tableColumn id="8" xr3:uid="{00000000-0010-0000-6000-000008000000}" name="p_td"/>
    <tableColumn id="9" xr3:uid="{00000000-0010-0000-6000-000009000000}" name="int"/>
    <tableColumn id="10" xr3:uid="{00000000-0010-0000-6000-00000A000000}" name="car"/>
    <tableColumn id="11" xr3:uid="{00000000-0010-0000-6000-00000B000000}" name="r_yd"/>
    <tableColumn id="12" xr3:uid="{00000000-0010-0000-6000-00000C000000}" name="r_td"/>
    <tableColumn id="13" xr3:uid="{00000000-0010-0000-6000-00000D000000}" name="tgt"/>
    <tableColumn id="14" xr3:uid="{00000000-0010-0000-6000-00000E000000}" name="rec"/>
    <tableColumn id="15" xr3:uid="{00000000-0010-0000-6000-00000F000000}" name="rec_yd"/>
    <tableColumn id="16" xr3:uid="{00000000-0010-0000-6000-000010000000}" name="rec_td"/>
    <tableColumn id="17" xr3:uid="{00000000-0010-0000-6000-000011000000}" name="fmb"/>
    <tableColumn id="18" xr3:uid="{00000000-0010-0000-6000-000012000000}" name="tp_c"/>
    <tableColumn id="19" xr3:uid="{00000000-0010-0000-6000-000013000000}" name="f_ppr"/>
    <tableColumn id="20" xr3:uid="{00000000-0010-0000-6000-000014000000}" name="tgt_share"/>
    <tableColumn id="21" xr3:uid="{00000000-0010-0000-6000-000015000000}" name="ypc"/>
    <tableColumn id="22" xr3:uid="{00000000-0010-0000-6000-000016000000}" name="ypr"/>
    <tableColumn id="23" xr3:uid="{00000000-0010-0000-6000-000017000000}" name="cmp_pct"/>
    <tableColumn id="24" xr3:uid="{00000000-0010-0000-6000-000018000000}" name="td_rate"/>
    <tableColumn id="25" xr3:uid="{00000000-0010-0000-6000-000019000000}" name="f_custom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Table100" displayName="Table100" ref="A30:L31" totalsRowShown="0">
  <autoFilter ref="A30:L31" xr:uid="{00000000-0009-0000-0100-000064000000}"/>
  <tableColumns count="12">
    <tableColumn id="1" xr3:uid="{00000000-0010-0000-6100-000001000000}" name="team"/>
    <tableColumn id="2" xr3:uid="{00000000-0010-0000-6100-000002000000}" name="off_yd"/>
    <tableColumn id="3" xr3:uid="{00000000-0010-0000-6100-000003000000}" name="p_yd"/>
    <tableColumn id="4" xr3:uid="{00000000-0010-0000-6100-000004000000}" name="car"/>
    <tableColumn id="5" xr3:uid="{00000000-0010-0000-6100-000005000000}" name="r_yd"/>
    <tableColumn id="6" xr3:uid="{00000000-0010-0000-6100-000006000000}" name="r_td"/>
    <tableColumn id="7" xr3:uid="{00000000-0010-0000-6100-000007000000}" name="p_ff"/>
    <tableColumn id="8" xr3:uid="{00000000-0010-0000-6100-000008000000}" name="p_att"/>
    <tableColumn id="9" xr3:uid="{00000000-0010-0000-6100-000009000000}" name="cmp_pct"/>
    <tableColumn id="10" xr3:uid="{00000000-0010-0000-6100-00000A000000}" name="p_td"/>
    <tableColumn id="11" xr3:uid="{00000000-0010-0000-6100-00000B000000}" name="int"/>
    <tableColumn id="12" xr3:uid="{00000000-0010-0000-6100-00000C000000}" name="fmb"/>
  </tableColumns>
  <tableStyleInfo name="TableStyleLight9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Table101" displayName="Table101" ref="A32:L33" totalsRowShown="0">
  <autoFilter ref="A32:L33" xr:uid="{00000000-0009-0000-0100-000065000000}"/>
  <tableColumns count="12">
    <tableColumn id="1" xr3:uid="{00000000-0010-0000-6200-000001000000}" name="team"/>
    <tableColumn id="2" xr3:uid="{00000000-0010-0000-6200-000002000000}" name="off_yd"/>
    <tableColumn id="3" xr3:uid="{00000000-0010-0000-6200-000003000000}" name="p_yd"/>
    <tableColumn id="4" xr3:uid="{00000000-0010-0000-6200-000004000000}" name="car"/>
    <tableColumn id="5" xr3:uid="{00000000-0010-0000-6200-000005000000}" name="r_yd"/>
    <tableColumn id="6" xr3:uid="{00000000-0010-0000-6200-000006000000}" name="r_td"/>
    <tableColumn id="7" xr3:uid="{00000000-0010-0000-6200-000007000000}" name="p_ff"/>
    <tableColumn id="8" xr3:uid="{00000000-0010-0000-6200-000008000000}" name="p_att"/>
    <tableColumn id="9" xr3:uid="{00000000-0010-0000-6200-000009000000}" name="cmp_pct"/>
    <tableColumn id="10" xr3:uid="{00000000-0010-0000-6200-00000A000000}" name="p_td"/>
    <tableColumn id="11" xr3:uid="{00000000-0010-0000-6200-00000B000000}" name="int"/>
    <tableColumn id="12" xr3:uid="{00000000-0010-0000-6200-00000C000000}" name="fmb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Table102" displayName="Table102" ref="A35:AB64" totalsRowShown="0">
  <autoFilter ref="A35:AB64" xr:uid="{00000000-0009-0000-0100-000066000000}"/>
  <tableColumns count="28">
    <tableColumn id="1" xr3:uid="{00000000-0010-0000-6300-000001000000}" name="Name"/>
    <tableColumn id="2" xr3:uid="{00000000-0010-0000-6300-000002000000}" name="POS"/>
    <tableColumn id="3" xr3:uid="{00000000-0010-0000-6300-000003000000}" name="Age"/>
    <tableColumn id="4" xr3:uid="{00000000-0010-0000-6300-000004000000}" name="Exp"/>
    <tableColumn id="5" xr3:uid="{00000000-0010-0000-6300-000005000000}" name="College"/>
    <tableColumn id="6" xr3:uid="{00000000-0010-0000-6300-000006000000}" name="team"/>
    <tableColumn id="7" xr3:uid="{00000000-0010-0000-6300-000007000000}" name="g"/>
    <tableColumn id="8" xr3:uid="{00000000-0010-0000-6300-000008000000}" name="p_att"/>
    <tableColumn id="9" xr3:uid="{00000000-0010-0000-6300-000009000000}" name="cmp"/>
    <tableColumn id="10" xr3:uid="{00000000-0010-0000-6300-00000A000000}" name="p_yd"/>
    <tableColumn id="11" xr3:uid="{00000000-0010-0000-6300-00000B000000}" name="p_td"/>
    <tableColumn id="12" xr3:uid="{00000000-0010-0000-6300-00000C000000}" name="int"/>
    <tableColumn id="13" xr3:uid="{00000000-0010-0000-6300-00000D000000}" name="car"/>
    <tableColumn id="14" xr3:uid="{00000000-0010-0000-6300-00000E000000}" name="r_yd"/>
    <tableColumn id="15" xr3:uid="{00000000-0010-0000-6300-00000F000000}" name="r_td"/>
    <tableColumn id="16" xr3:uid="{00000000-0010-0000-6300-000010000000}" name="tgt"/>
    <tableColumn id="17" xr3:uid="{00000000-0010-0000-6300-000011000000}" name="rec"/>
    <tableColumn id="18" xr3:uid="{00000000-0010-0000-6300-000012000000}" name="rec_yd"/>
    <tableColumn id="19" xr3:uid="{00000000-0010-0000-6300-000013000000}" name="rec_td"/>
    <tableColumn id="20" xr3:uid="{00000000-0010-0000-6300-000014000000}" name="fmb"/>
    <tableColumn id="21" xr3:uid="{00000000-0010-0000-6300-000015000000}" name="tp_c"/>
    <tableColumn id="22" xr3:uid="{00000000-0010-0000-6300-000016000000}" name="f_ppr"/>
    <tableColumn id="23" xr3:uid="{00000000-0010-0000-6300-000017000000}" name="tgt_share"/>
    <tableColumn id="24" xr3:uid="{00000000-0010-0000-6300-000018000000}" name="ypc"/>
    <tableColumn id="25" xr3:uid="{00000000-0010-0000-6300-000019000000}" name="ypr"/>
    <tableColumn id="26" xr3:uid="{00000000-0010-0000-6300-00001A000000}" name="cmp_pct"/>
    <tableColumn id="27" xr3:uid="{00000000-0010-0000-6300-00001B000000}" name="td_rate"/>
    <tableColumn id="28" xr3:uid="{00000000-0010-0000-6300-00001C000000}" name="f_custom"/>
  </tableColumns>
  <tableStyleInfo name="TableStyleLight9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Table103" displayName="Table103" ref="A1:Y15" totalsRowShown="0">
  <autoFilter ref="A1:Y15" xr:uid="{00000000-0009-0000-0100-000067000000}"/>
  <tableColumns count="25">
    <tableColumn id="1" xr3:uid="{00000000-0010-0000-6400-000001000000}" name="player_name"/>
    <tableColumn id="2" xr3:uid="{00000000-0010-0000-6400-000002000000}" name="recent_team"/>
    <tableColumn id="3" xr3:uid="{00000000-0010-0000-6400-000003000000}" name="pos"/>
    <tableColumn id="4" xr3:uid="{00000000-0010-0000-6400-000004000000}" name="g"/>
    <tableColumn id="5" xr3:uid="{00000000-0010-0000-6400-000005000000}" name="p_att"/>
    <tableColumn id="6" xr3:uid="{00000000-0010-0000-6400-000006000000}" name="cmp"/>
    <tableColumn id="7" xr3:uid="{00000000-0010-0000-6400-000007000000}" name="p_yd"/>
    <tableColumn id="8" xr3:uid="{00000000-0010-0000-6400-000008000000}" name="p_td"/>
    <tableColumn id="9" xr3:uid="{00000000-0010-0000-6400-000009000000}" name="int"/>
    <tableColumn id="10" xr3:uid="{00000000-0010-0000-6400-00000A000000}" name="car"/>
    <tableColumn id="11" xr3:uid="{00000000-0010-0000-6400-00000B000000}" name="r_yd"/>
    <tableColumn id="12" xr3:uid="{00000000-0010-0000-6400-00000C000000}" name="r_td"/>
    <tableColumn id="13" xr3:uid="{00000000-0010-0000-6400-00000D000000}" name="tgt"/>
    <tableColumn id="14" xr3:uid="{00000000-0010-0000-6400-00000E000000}" name="rec"/>
    <tableColumn id="15" xr3:uid="{00000000-0010-0000-6400-00000F000000}" name="rec_yd"/>
    <tableColumn id="16" xr3:uid="{00000000-0010-0000-6400-000010000000}" name="rec_td"/>
    <tableColumn id="17" xr3:uid="{00000000-0010-0000-6400-000011000000}" name="fmb"/>
    <tableColumn id="18" xr3:uid="{00000000-0010-0000-6400-000012000000}" name="tp_c"/>
    <tableColumn id="19" xr3:uid="{00000000-0010-0000-6400-000013000000}" name="f_ppr"/>
    <tableColumn id="20" xr3:uid="{00000000-0010-0000-6400-000014000000}" name="tgt_share"/>
    <tableColumn id="21" xr3:uid="{00000000-0010-0000-6400-000015000000}" name="ypc"/>
    <tableColumn id="22" xr3:uid="{00000000-0010-0000-6400-000016000000}" name="ypr"/>
    <tableColumn id="23" xr3:uid="{00000000-0010-0000-6400-000017000000}" name="cmp_pct"/>
    <tableColumn id="24" xr3:uid="{00000000-0010-0000-6400-000018000000}" name="td_rate"/>
    <tableColumn id="25" xr3:uid="{00000000-0010-0000-6400-000019000000}" name="f_custom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Table104" displayName="Table104" ref="A30:L31" totalsRowShown="0">
  <autoFilter ref="A30:L31" xr:uid="{00000000-0009-0000-0100-000068000000}"/>
  <tableColumns count="12">
    <tableColumn id="1" xr3:uid="{00000000-0010-0000-6500-000001000000}" name="team"/>
    <tableColumn id="2" xr3:uid="{00000000-0010-0000-6500-000002000000}" name="off_yd"/>
    <tableColumn id="3" xr3:uid="{00000000-0010-0000-6500-000003000000}" name="p_yd"/>
    <tableColumn id="4" xr3:uid="{00000000-0010-0000-6500-000004000000}" name="car"/>
    <tableColumn id="5" xr3:uid="{00000000-0010-0000-6500-000005000000}" name="r_yd"/>
    <tableColumn id="6" xr3:uid="{00000000-0010-0000-6500-000006000000}" name="r_td"/>
    <tableColumn id="7" xr3:uid="{00000000-0010-0000-6500-000007000000}" name="p_ff"/>
    <tableColumn id="8" xr3:uid="{00000000-0010-0000-6500-000008000000}" name="p_att"/>
    <tableColumn id="9" xr3:uid="{00000000-0010-0000-6500-000009000000}" name="cmp_pct"/>
    <tableColumn id="10" xr3:uid="{00000000-0010-0000-6500-00000A000000}" name="p_td"/>
    <tableColumn id="11" xr3:uid="{00000000-0010-0000-6500-00000B000000}" name="int"/>
    <tableColumn id="12" xr3:uid="{00000000-0010-0000-6500-00000C000000}" name="fmb"/>
  </tableColumns>
  <tableStyleInfo name="TableStyleLight9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Table105" displayName="Table105" ref="A32:L33" totalsRowShown="0">
  <autoFilter ref="A32:L33" xr:uid="{00000000-0009-0000-0100-000069000000}"/>
  <tableColumns count="12">
    <tableColumn id="1" xr3:uid="{00000000-0010-0000-6600-000001000000}" name="team"/>
    <tableColumn id="2" xr3:uid="{00000000-0010-0000-6600-000002000000}" name="off_yd"/>
    <tableColumn id="3" xr3:uid="{00000000-0010-0000-6600-000003000000}" name="p_yd"/>
    <tableColumn id="4" xr3:uid="{00000000-0010-0000-6600-000004000000}" name="car"/>
    <tableColumn id="5" xr3:uid="{00000000-0010-0000-6600-000005000000}" name="r_yd"/>
    <tableColumn id="6" xr3:uid="{00000000-0010-0000-6600-000006000000}" name="r_td"/>
    <tableColumn id="7" xr3:uid="{00000000-0010-0000-6600-000007000000}" name="p_ff"/>
    <tableColumn id="8" xr3:uid="{00000000-0010-0000-6600-000008000000}" name="p_att"/>
    <tableColumn id="9" xr3:uid="{00000000-0010-0000-6600-000009000000}" name="cmp_pct"/>
    <tableColumn id="10" xr3:uid="{00000000-0010-0000-6600-00000A000000}" name="p_td"/>
    <tableColumn id="11" xr3:uid="{00000000-0010-0000-6600-00000B000000}" name="int"/>
    <tableColumn id="12" xr3:uid="{00000000-0010-0000-6600-00000C000000}" name="fmb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Table106" displayName="Table106" ref="A35:AB63" totalsRowShown="0">
  <autoFilter ref="A35:AB63" xr:uid="{00000000-0009-0000-0100-00006A000000}"/>
  <tableColumns count="28">
    <tableColumn id="1" xr3:uid="{00000000-0010-0000-6700-000001000000}" name="Name"/>
    <tableColumn id="2" xr3:uid="{00000000-0010-0000-6700-000002000000}" name="POS"/>
    <tableColumn id="3" xr3:uid="{00000000-0010-0000-6700-000003000000}" name="Age"/>
    <tableColumn id="4" xr3:uid="{00000000-0010-0000-6700-000004000000}" name="Exp"/>
    <tableColumn id="5" xr3:uid="{00000000-0010-0000-6700-000005000000}" name="College"/>
    <tableColumn id="6" xr3:uid="{00000000-0010-0000-6700-000006000000}" name="team"/>
    <tableColumn id="7" xr3:uid="{00000000-0010-0000-6700-000007000000}" name="g"/>
    <tableColumn id="8" xr3:uid="{00000000-0010-0000-6700-000008000000}" name="p_att"/>
    <tableColumn id="9" xr3:uid="{00000000-0010-0000-6700-000009000000}" name="cmp"/>
    <tableColumn id="10" xr3:uid="{00000000-0010-0000-6700-00000A000000}" name="p_yd"/>
    <tableColumn id="11" xr3:uid="{00000000-0010-0000-6700-00000B000000}" name="p_td"/>
    <tableColumn id="12" xr3:uid="{00000000-0010-0000-6700-00000C000000}" name="int"/>
    <tableColumn id="13" xr3:uid="{00000000-0010-0000-6700-00000D000000}" name="car"/>
    <tableColumn id="14" xr3:uid="{00000000-0010-0000-6700-00000E000000}" name="r_yd"/>
    <tableColumn id="15" xr3:uid="{00000000-0010-0000-6700-00000F000000}" name="r_td"/>
    <tableColumn id="16" xr3:uid="{00000000-0010-0000-6700-000010000000}" name="tgt"/>
    <tableColumn id="17" xr3:uid="{00000000-0010-0000-6700-000011000000}" name="rec"/>
    <tableColumn id="18" xr3:uid="{00000000-0010-0000-6700-000012000000}" name="rec_yd"/>
    <tableColumn id="19" xr3:uid="{00000000-0010-0000-6700-000013000000}" name="rec_td"/>
    <tableColumn id="20" xr3:uid="{00000000-0010-0000-6700-000014000000}" name="fmb"/>
    <tableColumn id="21" xr3:uid="{00000000-0010-0000-6700-000015000000}" name="tp_c"/>
    <tableColumn id="22" xr3:uid="{00000000-0010-0000-6700-000016000000}" name="f_ppr"/>
    <tableColumn id="23" xr3:uid="{00000000-0010-0000-6700-000017000000}" name="tgt_share"/>
    <tableColumn id="24" xr3:uid="{00000000-0010-0000-6700-000018000000}" name="ypc"/>
    <tableColumn id="25" xr3:uid="{00000000-0010-0000-6700-000019000000}" name="ypr"/>
    <tableColumn id="26" xr3:uid="{00000000-0010-0000-6700-00001A000000}" name="cmp_pct"/>
    <tableColumn id="27" xr3:uid="{00000000-0010-0000-6700-00001B000000}" name="td_rate"/>
    <tableColumn id="28" xr3:uid="{00000000-0010-0000-6700-00001C000000}" name="f_custom"/>
  </tableColumns>
  <tableStyleInfo name="TableStyleLight9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Table107" displayName="Table107" ref="A1:Y18" totalsRowShown="0">
  <autoFilter ref="A1:Y18" xr:uid="{00000000-0009-0000-0100-00006B000000}"/>
  <tableColumns count="25">
    <tableColumn id="1" xr3:uid="{00000000-0010-0000-6800-000001000000}" name="player_name"/>
    <tableColumn id="2" xr3:uid="{00000000-0010-0000-6800-000002000000}" name="recent_team"/>
    <tableColumn id="3" xr3:uid="{00000000-0010-0000-6800-000003000000}" name="pos"/>
    <tableColumn id="4" xr3:uid="{00000000-0010-0000-6800-000004000000}" name="g"/>
    <tableColumn id="5" xr3:uid="{00000000-0010-0000-6800-000005000000}" name="p_att"/>
    <tableColumn id="6" xr3:uid="{00000000-0010-0000-6800-000006000000}" name="cmp"/>
    <tableColumn id="7" xr3:uid="{00000000-0010-0000-6800-000007000000}" name="p_yd"/>
    <tableColumn id="8" xr3:uid="{00000000-0010-0000-6800-000008000000}" name="p_td"/>
    <tableColumn id="9" xr3:uid="{00000000-0010-0000-6800-000009000000}" name="int"/>
    <tableColumn id="10" xr3:uid="{00000000-0010-0000-6800-00000A000000}" name="car"/>
    <tableColumn id="11" xr3:uid="{00000000-0010-0000-6800-00000B000000}" name="r_yd"/>
    <tableColumn id="12" xr3:uid="{00000000-0010-0000-6800-00000C000000}" name="r_td"/>
    <tableColumn id="13" xr3:uid="{00000000-0010-0000-6800-00000D000000}" name="tgt"/>
    <tableColumn id="14" xr3:uid="{00000000-0010-0000-6800-00000E000000}" name="rec"/>
    <tableColumn id="15" xr3:uid="{00000000-0010-0000-6800-00000F000000}" name="rec_yd"/>
    <tableColumn id="16" xr3:uid="{00000000-0010-0000-6800-000010000000}" name="rec_td"/>
    <tableColumn id="17" xr3:uid="{00000000-0010-0000-6800-000011000000}" name="fmb"/>
    <tableColumn id="18" xr3:uid="{00000000-0010-0000-6800-000012000000}" name="tp_c"/>
    <tableColumn id="19" xr3:uid="{00000000-0010-0000-6800-000013000000}" name="f_ppr"/>
    <tableColumn id="20" xr3:uid="{00000000-0010-0000-6800-000014000000}" name="tgt_share"/>
    <tableColumn id="21" xr3:uid="{00000000-0010-0000-6800-000015000000}" name="ypc"/>
    <tableColumn id="22" xr3:uid="{00000000-0010-0000-6800-000016000000}" name="ypr"/>
    <tableColumn id="23" xr3:uid="{00000000-0010-0000-6800-000017000000}" name="cmp_pct"/>
    <tableColumn id="24" xr3:uid="{00000000-0010-0000-6800-000018000000}" name="td_rate"/>
    <tableColumn id="25" xr3:uid="{00000000-0010-0000-6800-000019000000}" name="f_custom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Table108" displayName="Table108" ref="A30:L31" totalsRowShown="0">
  <autoFilter ref="A30:L31" xr:uid="{00000000-0009-0000-0100-00006C000000}"/>
  <tableColumns count="12">
    <tableColumn id="1" xr3:uid="{00000000-0010-0000-6900-000001000000}" name="team"/>
    <tableColumn id="2" xr3:uid="{00000000-0010-0000-6900-000002000000}" name="off_yd"/>
    <tableColumn id="3" xr3:uid="{00000000-0010-0000-6900-000003000000}" name="p_yd"/>
    <tableColumn id="4" xr3:uid="{00000000-0010-0000-6900-000004000000}" name="car"/>
    <tableColumn id="5" xr3:uid="{00000000-0010-0000-6900-000005000000}" name="r_yd"/>
    <tableColumn id="6" xr3:uid="{00000000-0010-0000-6900-000006000000}" name="r_td"/>
    <tableColumn id="7" xr3:uid="{00000000-0010-0000-6900-000007000000}" name="p_ff"/>
    <tableColumn id="8" xr3:uid="{00000000-0010-0000-6900-000008000000}" name="p_att"/>
    <tableColumn id="9" xr3:uid="{00000000-0010-0000-6900-000009000000}" name="cmp_pct"/>
    <tableColumn id="10" xr3:uid="{00000000-0010-0000-6900-00000A000000}" name="p_td"/>
    <tableColumn id="11" xr3:uid="{00000000-0010-0000-6900-00000B000000}" name="int"/>
    <tableColumn id="12" xr3:uid="{00000000-0010-0000-6900-00000C000000}" name="fmb"/>
  </tableColumns>
  <tableStyleInfo name="TableStyleLight9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Table109" displayName="Table109" ref="A32:L33" totalsRowShown="0">
  <autoFilter ref="A32:L33" xr:uid="{00000000-0009-0000-0100-00006D000000}"/>
  <tableColumns count="12">
    <tableColumn id="1" xr3:uid="{00000000-0010-0000-6A00-000001000000}" name="team"/>
    <tableColumn id="2" xr3:uid="{00000000-0010-0000-6A00-000002000000}" name="off_yd"/>
    <tableColumn id="3" xr3:uid="{00000000-0010-0000-6A00-000003000000}" name="p_yd"/>
    <tableColumn id="4" xr3:uid="{00000000-0010-0000-6A00-000004000000}" name="car"/>
    <tableColumn id="5" xr3:uid="{00000000-0010-0000-6A00-000005000000}" name="r_yd"/>
    <tableColumn id="6" xr3:uid="{00000000-0010-0000-6A00-000006000000}" name="r_td"/>
    <tableColumn id="7" xr3:uid="{00000000-0010-0000-6A00-000007000000}" name="p_ff"/>
    <tableColumn id="8" xr3:uid="{00000000-0010-0000-6A00-000008000000}" name="p_att"/>
    <tableColumn id="9" xr3:uid="{00000000-0010-0000-6A00-000009000000}" name="cmp_pct"/>
    <tableColumn id="10" xr3:uid="{00000000-0010-0000-6A00-00000A000000}" name="p_td"/>
    <tableColumn id="11" xr3:uid="{00000000-0010-0000-6A00-00000B000000}" name="int"/>
    <tableColumn id="12" xr3:uid="{00000000-0010-0000-6A00-00000C000000}" name="fmb"/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Table110" displayName="Table110" ref="A35:AB63" totalsRowShown="0">
  <autoFilter ref="A35:AB63" xr:uid="{00000000-0009-0000-0100-00006E000000}"/>
  <tableColumns count="28">
    <tableColumn id="1" xr3:uid="{00000000-0010-0000-6B00-000001000000}" name="Name"/>
    <tableColumn id="2" xr3:uid="{00000000-0010-0000-6B00-000002000000}" name="POS"/>
    <tableColumn id="3" xr3:uid="{00000000-0010-0000-6B00-000003000000}" name="Age"/>
    <tableColumn id="4" xr3:uid="{00000000-0010-0000-6B00-000004000000}" name="Exp"/>
    <tableColumn id="5" xr3:uid="{00000000-0010-0000-6B00-000005000000}" name="College"/>
    <tableColumn id="6" xr3:uid="{00000000-0010-0000-6B00-000006000000}" name="team"/>
    <tableColumn id="7" xr3:uid="{00000000-0010-0000-6B00-000007000000}" name="g"/>
    <tableColumn id="8" xr3:uid="{00000000-0010-0000-6B00-000008000000}" name="p_att"/>
    <tableColumn id="9" xr3:uid="{00000000-0010-0000-6B00-000009000000}" name="cmp"/>
    <tableColumn id="10" xr3:uid="{00000000-0010-0000-6B00-00000A000000}" name="p_yd"/>
    <tableColumn id="11" xr3:uid="{00000000-0010-0000-6B00-00000B000000}" name="p_td"/>
    <tableColumn id="12" xr3:uid="{00000000-0010-0000-6B00-00000C000000}" name="int"/>
    <tableColumn id="13" xr3:uid="{00000000-0010-0000-6B00-00000D000000}" name="car"/>
    <tableColumn id="14" xr3:uid="{00000000-0010-0000-6B00-00000E000000}" name="r_yd"/>
    <tableColumn id="15" xr3:uid="{00000000-0010-0000-6B00-00000F000000}" name="r_td"/>
    <tableColumn id="16" xr3:uid="{00000000-0010-0000-6B00-000010000000}" name="tgt"/>
    <tableColumn id="17" xr3:uid="{00000000-0010-0000-6B00-000011000000}" name="rec"/>
    <tableColumn id="18" xr3:uid="{00000000-0010-0000-6B00-000012000000}" name="rec_yd"/>
    <tableColumn id="19" xr3:uid="{00000000-0010-0000-6B00-000013000000}" name="rec_td"/>
    <tableColumn id="20" xr3:uid="{00000000-0010-0000-6B00-000014000000}" name="fmb"/>
    <tableColumn id="21" xr3:uid="{00000000-0010-0000-6B00-000015000000}" name="tp_c"/>
    <tableColumn id="22" xr3:uid="{00000000-0010-0000-6B00-000016000000}" name="f_ppr"/>
    <tableColumn id="23" xr3:uid="{00000000-0010-0000-6B00-000017000000}" name="tgt_share"/>
    <tableColumn id="24" xr3:uid="{00000000-0010-0000-6B00-000018000000}" name="ypc"/>
    <tableColumn id="25" xr3:uid="{00000000-0010-0000-6B00-000019000000}" name="ypr"/>
    <tableColumn id="26" xr3:uid="{00000000-0010-0000-6B00-00001A000000}" name="cmp_pct"/>
    <tableColumn id="27" xr3:uid="{00000000-0010-0000-6B00-00001B000000}" name="td_rate"/>
    <tableColumn id="28" xr3:uid="{00000000-0010-0000-6B00-00001C000000}" name="f_custom"/>
  </tableColumns>
  <tableStyleInfo name="TableStyleLight9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Table111" displayName="Table111" ref="A1:Y20" totalsRowShown="0">
  <autoFilter ref="A1:Y20" xr:uid="{00000000-0009-0000-0100-00006F000000}"/>
  <tableColumns count="25">
    <tableColumn id="1" xr3:uid="{00000000-0010-0000-6C00-000001000000}" name="player_name"/>
    <tableColumn id="2" xr3:uid="{00000000-0010-0000-6C00-000002000000}" name="recent_team"/>
    <tableColumn id="3" xr3:uid="{00000000-0010-0000-6C00-000003000000}" name="pos"/>
    <tableColumn id="4" xr3:uid="{00000000-0010-0000-6C00-000004000000}" name="g"/>
    <tableColumn id="5" xr3:uid="{00000000-0010-0000-6C00-000005000000}" name="p_att"/>
    <tableColumn id="6" xr3:uid="{00000000-0010-0000-6C00-000006000000}" name="cmp"/>
    <tableColumn id="7" xr3:uid="{00000000-0010-0000-6C00-000007000000}" name="p_yd"/>
    <tableColumn id="8" xr3:uid="{00000000-0010-0000-6C00-000008000000}" name="p_td"/>
    <tableColumn id="9" xr3:uid="{00000000-0010-0000-6C00-000009000000}" name="int"/>
    <tableColumn id="10" xr3:uid="{00000000-0010-0000-6C00-00000A000000}" name="car"/>
    <tableColumn id="11" xr3:uid="{00000000-0010-0000-6C00-00000B000000}" name="r_yd"/>
    <tableColumn id="12" xr3:uid="{00000000-0010-0000-6C00-00000C000000}" name="r_td"/>
    <tableColumn id="13" xr3:uid="{00000000-0010-0000-6C00-00000D000000}" name="tgt"/>
    <tableColumn id="14" xr3:uid="{00000000-0010-0000-6C00-00000E000000}" name="rec"/>
    <tableColumn id="15" xr3:uid="{00000000-0010-0000-6C00-00000F000000}" name="rec_yd"/>
    <tableColumn id="16" xr3:uid="{00000000-0010-0000-6C00-000010000000}" name="rec_td"/>
    <tableColumn id="17" xr3:uid="{00000000-0010-0000-6C00-000011000000}" name="fmb"/>
    <tableColumn id="18" xr3:uid="{00000000-0010-0000-6C00-000012000000}" name="tp_c"/>
    <tableColumn id="19" xr3:uid="{00000000-0010-0000-6C00-000013000000}" name="f_ppr"/>
    <tableColumn id="20" xr3:uid="{00000000-0010-0000-6C00-000014000000}" name="tgt_share"/>
    <tableColumn id="21" xr3:uid="{00000000-0010-0000-6C00-000015000000}" name="ypc"/>
    <tableColumn id="22" xr3:uid="{00000000-0010-0000-6C00-000016000000}" name="ypr"/>
    <tableColumn id="23" xr3:uid="{00000000-0010-0000-6C00-000017000000}" name="cmp_pct"/>
    <tableColumn id="24" xr3:uid="{00000000-0010-0000-6C00-000018000000}" name="td_rate"/>
    <tableColumn id="25" xr3:uid="{00000000-0010-0000-6C00-000019000000}" name="f_custom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Table112" displayName="Table112" ref="A30:L31" totalsRowShown="0">
  <autoFilter ref="A30:L31" xr:uid="{00000000-0009-0000-0100-000070000000}"/>
  <tableColumns count="12">
    <tableColumn id="1" xr3:uid="{00000000-0010-0000-6D00-000001000000}" name="team"/>
    <tableColumn id="2" xr3:uid="{00000000-0010-0000-6D00-000002000000}" name="off_yd"/>
    <tableColumn id="3" xr3:uid="{00000000-0010-0000-6D00-000003000000}" name="p_yd"/>
    <tableColumn id="4" xr3:uid="{00000000-0010-0000-6D00-000004000000}" name="car"/>
    <tableColumn id="5" xr3:uid="{00000000-0010-0000-6D00-000005000000}" name="r_yd"/>
    <tableColumn id="6" xr3:uid="{00000000-0010-0000-6D00-000006000000}" name="r_td"/>
    <tableColumn id="7" xr3:uid="{00000000-0010-0000-6D00-000007000000}" name="p_ff"/>
    <tableColumn id="8" xr3:uid="{00000000-0010-0000-6D00-000008000000}" name="p_att"/>
    <tableColumn id="9" xr3:uid="{00000000-0010-0000-6D00-000009000000}" name="cmp_pct"/>
    <tableColumn id="10" xr3:uid="{00000000-0010-0000-6D00-00000A000000}" name="p_td"/>
    <tableColumn id="11" xr3:uid="{00000000-0010-0000-6D00-00000B000000}" name="int"/>
    <tableColumn id="12" xr3:uid="{00000000-0010-0000-6D00-00000C000000}" name="fmb"/>
  </tableColumns>
  <tableStyleInfo name="TableStyleLight9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Table113" displayName="Table113" ref="A32:L33" totalsRowShown="0">
  <autoFilter ref="A32:L33" xr:uid="{00000000-0009-0000-0100-000071000000}"/>
  <tableColumns count="12">
    <tableColumn id="1" xr3:uid="{00000000-0010-0000-6E00-000001000000}" name="team"/>
    <tableColumn id="2" xr3:uid="{00000000-0010-0000-6E00-000002000000}" name="off_yd"/>
    <tableColumn id="3" xr3:uid="{00000000-0010-0000-6E00-000003000000}" name="p_yd"/>
    <tableColumn id="4" xr3:uid="{00000000-0010-0000-6E00-000004000000}" name="car"/>
    <tableColumn id="5" xr3:uid="{00000000-0010-0000-6E00-000005000000}" name="r_yd"/>
    <tableColumn id="6" xr3:uid="{00000000-0010-0000-6E00-000006000000}" name="r_td"/>
    <tableColumn id="7" xr3:uid="{00000000-0010-0000-6E00-000007000000}" name="p_ff"/>
    <tableColumn id="8" xr3:uid="{00000000-0010-0000-6E00-000008000000}" name="p_att"/>
    <tableColumn id="9" xr3:uid="{00000000-0010-0000-6E00-000009000000}" name="cmp_pct"/>
    <tableColumn id="10" xr3:uid="{00000000-0010-0000-6E00-00000A000000}" name="p_td"/>
    <tableColumn id="11" xr3:uid="{00000000-0010-0000-6E00-00000B000000}" name="int"/>
    <tableColumn id="12" xr3:uid="{00000000-0010-0000-6E00-00000C000000}" name="fmb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Table114" displayName="Table114" ref="A35:AB61" totalsRowShown="0">
  <autoFilter ref="A35:AB61" xr:uid="{00000000-0009-0000-0100-000072000000}"/>
  <tableColumns count="28">
    <tableColumn id="1" xr3:uid="{00000000-0010-0000-6F00-000001000000}" name="Name"/>
    <tableColumn id="2" xr3:uid="{00000000-0010-0000-6F00-000002000000}" name="POS"/>
    <tableColumn id="3" xr3:uid="{00000000-0010-0000-6F00-000003000000}" name="Age"/>
    <tableColumn id="4" xr3:uid="{00000000-0010-0000-6F00-000004000000}" name="Exp"/>
    <tableColumn id="5" xr3:uid="{00000000-0010-0000-6F00-000005000000}" name="College"/>
    <tableColumn id="6" xr3:uid="{00000000-0010-0000-6F00-000006000000}" name="team"/>
    <tableColumn id="7" xr3:uid="{00000000-0010-0000-6F00-000007000000}" name="g"/>
    <tableColumn id="8" xr3:uid="{00000000-0010-0000-6F00-000008000000}" name="p_att"/>
    <tableColumn id="9" xr3:uid="{00000000-0010-0000-6F00-000009000000}" name="cmp"/>
    <tableColumn id="10" xr3:uid="{00000000-0010-0000-6F00-00000A000000}" name="p_yd"/>
    <tableColumn id="11" xr3:uid="{00000000-0010-0000-6F00-00000B000000}" name="p_td"/>
    <tableColumn id="12" xr3:uid="{00000000-0010-0000-6F00-00000C000000}" name="int"/>
    <tableColumn id="13" xr3:uid="{00000000-0010-0000-6F00-00000D000000}" name="car"/>
    <tableColumn id="14" xr3:uid="{00000000-0010-0000-6F00-00000E000000}" name="r_yd"/>
    <tableColumn id="15" xr3:uid="{00000000-0010-0000-6F00-00000F000000}" name="r_td"/>
    <tableColumn id="16" xr3:uid="{00000000-0010-0000-6F00-000010000000}" name="tgt"/>
    <tableColumn id="17" xr3:uid="{00000000-0010-0000-6F00-000011000000}" name="rec"/>
    <tableColumn id="18" xr3:uid="{00000000-0010-0000-6F00-000012000000}" name="rec_yd"/>
    <tableColumn id="19" xr3:uid="{00000000-0010-0000-6F00-000013000000}" name="rec_td"/>
    <tableColumn id="20" xr3:uid="{00000000-0010-0000-6F00-000014000000}" name="fmb"/>
    <tableColumn id="21" xr3:uid="{00000000-0010-0000-6F00-000015000000}" name="tp_c"/>
    <tableColumn id="22" xr3:uid="{00000000-0010-0000-6F00-000016000000}" name="f_ppr"/>
    <tableColumn id="23" xr3:uid="{00000000-0010-0000-6F00-000017000000}" name="tgt_share"/>
    <tableColumn id="24" xr3:uid="{00000000-0010-0000-6F00-000018000000}" name="ypc"/>
    <tableColumn id="25" xr3:uid="{00000000-0010-0000-6F00-000019000000}" name="ypr"/>
    <tableColumn id="26" xr3:uid="{00000000-0010-0000-6F00-00001A000000}" name="cmp_pct"/>
    <tableColumn id="27" xr3:uid="{00000000-0010-0000-6F00-00001B000000}" name="td_rate"/>
    <tableColumn id="28" xr3:uid="{00000000-0010-0000-6F00-00001C000000}" name="f_custom"/>
  </tableColumns>
  <tableStyleInfo name="TableStyleLight9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Table115" displayName="Table115" ref="A1:Y21" totalsRowShown="0">
  <autoFilter ref="A1:Y21" xr:uid="{00000000-0009-0000-0100-000073000000}"/>
  <tableColumns count="25">
    <tableColumn id="1" xr3:uid="{00000000-0010-0000-7000-000001000000}" name="player_name"/>
    <tableColumn id="2" xr3:uid="{00000000-0010-0000-7000-000002000000}" name="recent_team"/>
    <tableColumn id="3" xr3:uid="{00000000-0010-0000-7000-000003000000}" name="pos"/>
    <tableColumn id="4" xr3:uid="{00000000-0010-0000-7000-000004000000}" name="g"/>
    <tableColumn id="5" xr3:uid="{00000000-0010-0000-7000-000005000000}" name="p_att"/>
    <tableColumn id="6" xr3:uid="{00000000-0010-0000-7000-000006000000}" name="cmp"/>
    <tableColumn id="7" xr3:uid="{00000000-0010-0000-7000-000007000000}" name="p_yd"/>
    <tableColumn id="8" xr3:uid="{00000000-0010-0000-7000-000008000000}" name="p_td"/>
    <tableColumn id="9" xr3:uid="{00000000-0010-0000-7000-000009000000}" name="int"/>
    <tableColumn id="10" xr3:uid="{00000000-0010-0000-7000-00000A000000}" name="car"/>
    <tableColumn id="11" xr3:uid="{00000000-0010-0000-7000-00000B000000}" name="r_yd"/>
    <tableColumn id="12" xr3:uid="{00000000-0010-0000-7000-00000C000000}" name="r_td"/>
    <tableColumn id="13" xr3:uid="{00000000-0010-0000-7000-00000D000000}" name="tgt"/>
    <tableColumn id="14" xr3:uid="{00000000-0010-0000-7000-00000E000000}" name="rec"/>
    <tableColumn id="15" xr3:uid="{00000000-0010-0000-7000-00000F000000}" name="rec_yd"/>
    <tableColumn id="16" xr3:uid="{00000000-0010-0000-7000-000010000000}" name="rec_td"/>
    <tableColumn id="17" xr3:uid="{00000000-0010-0000-7000-000011000000}" name="fmb"/>
    <tableColumn id="18" xr3:uid="{00000000-0010-0000-7000-000012000000}" name="tp_c"/>
    <tableColumn id="19" xr3:uid="{00000000-0010-0000-7000-000013000000}" name="f_ppr"/>
    <tableColumn id="20" xr3:uid="{00000000-0010-0000-7000-000014000000}" name="tgt_share"/>
    <tableColumn id="21" xr3:uid="{00000000-0010-0000-7000-000015000000}" name="ypc"/>
    <tableColumn id="22" xr3:uid="{00000000-0010-0000-7000-000016000000}" name="ypr"/>
    <tableColumn id="23" xr3:uid="{00000000-0010-0000-7000-000017000000}" name="cmp_pct"/>
    <tableColumn id="24" xr3:uid="{00000000-0010-0000-7000-000018000000}" name="td_rate"/>
    <tableColumn id="25" xr3:uid="{00000000-0010-0000-7000-000019000000}" name="f_custom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Table116" displayName="Table116" ref="A30:L31" totalsRowShown="0">
  <autoFilter ref="A30:L31" xr:uid="{00000000-0009-0000-0100-000074000000}"/>
  <tableColumns count="12">
    <tableColumn id="1" xr3:uid="{00000000-0010-0000-7100-000001000000}" name="team"/>
    <tableColumn id="2" xr3:uid="{00000000-0010-0000-7100-000002000000}" name="off_yd"/>
    <tableColumn id="3" xr3:uid="{00000000-0010-0000-7100-000003000000}" name="p_yd"/>
    <tableColumn id="4" xr3:uid="{00000000-0010-0000-7100-000004000000}" name="car"/>
    <tableColumn id="5" xr3:uid="{00000000-0010-0000-7100-000005000000}" name="r_yd"/>
    <tableColumn id="6" xr3:uid="{00000000-0010-0000-7100-000006000000}" name="r_td"/>
    <tableColumn id="7" xr3:uid="{00000000-0010-0000-7100-000007000000}" name="p_ff"/>
    <tableColumn id="8" xr3:uid="{00000000-0010-0000-7100-000008000000}" name="p_att"/>
    <tableColumn id="9" xr3:uid="{00000000-0010-0000-7100-000009000000}" name="cmp_pct"/>
    <tableColumn id="10" xr3:uid="{00000000-0010-0000-7100-00000A000000}" name="p_td"/>
    <tableColumn id="11" xr3:uid="{00000000-0010-0000-7100-00000B000000}" name="int"/>
    <tableColumn id="12" xr3:uid="{00000000-0010-0000-7100-00000C000000}" name="fmb"/>
  </tableColumns>
  <tableStyleInfo name="TableStyleLight9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Table117" displayName="Table117" ref="A32:L33" totalsRowShown="0">
  <autoFilter ref="A32:L33" xr:uid="{00000000-0009-0000-0100-000075000000}"/>
  <tableColumns count="12">
    <tableColumn id="1" xr3:uid="{00000000-0010-0000-7200-000001000000}" name="team"/>
    <tableColumn id="2" xr3:uid="{00000000-0010-0000-7200-000002000000}" name="off_yd"/>
    <tableColumn id="3" xr3:uid="{00000000-0010-0000-7200-000003000000}" name="p_yd"/>
    <tableColumn id="4" xr3:uid="{00000000-0010-0000-7200-000004000000}" name="car"/>
    <tableColumn id="5" xr3:uid="{00000000-0010-0000-7200-000005000000}" name="r_yd"/>
    <tableColumn id="6" xr3:uid="{00000000-0010-0000-7200-000006000000}" name="r_td"/>
    <tableColumn id="7" xr3:uid="{00000000-0010-0000-7200-000007000000}" name="p_ff"/>
    <tableColumn id="8" xr3:uid="{00000000-0010-0000-7200-000008000000}" name="p_att"/>
    <tableColumn id="9" xr3:uid="{00000000-0010-0000-7200-000009000000}" name="cmp_pct"/>
    <tableColumn id="10" xr3:uid="{00000000-0010-0000-7200-00000A000000}" name="p_td"/>
    <tableColumn id="11" xr3:uid="{00000000-0010-0000-7200-00000B000000}" name="int"/>
    <tableColumn id="12" xr3:uid="{00000000-0010-0000-7200-00000C000000}" name="fmb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Table118" displayName="Table118" ref="A35:AB62" totalsRowShown="0">
  <autoFilter ref="A35:AB62" xr:uid="{00000000-0009-0000-0100-000076000000}"/>
  <tableColumns count="28">
    <tableColumn id="1" xr3:uid="{00000000-0010-0000-7300-000001000000}" name="Name"/>
    <tableColumn id="2" xr3:uid="{00000000-0010-0000-7300-000002000000}" name="POS"/>
    <tableColumn id="3" xr3:uid="{00000000-0010-0000-7300-000003000000}" name="Age"/>
    <tableColumn id="4" xr3:uid="{00000000-0010-0000-7300-000004000000}" name="Exp"/>
    <tableColumn id="5" xr3:uid="{00000000-0010-0000-7300-000005000000}" name="College"/>
    <tableColumn id="6" xr3:uid="{00000000-0010-0000-7300-000006000000}" name="team"/>
    <tableColumn id="7" xr3:uid="{00000000-0010-0000-7300-000007000000}" name="g"/>
    <tableColumn id="8" xr3:uid="{00000000-0010-0000-7300-000008000000}" name="p_att"/>
    <tableColumn id="9" xr3:uid="{00000000-0010-0000-7300-000009000000}" name="cmp"/>
    <tableColumn id="10" xr3:uid="{00000000-0010-0000-7300-00000A000000}" name="p_yd"/>
    <tableColumn id="11" xr3:uid="{00000000-0010-0000-7300-00000B000000}" name="p_td"/>
    <tableColumn id="12" xr3:uid="{00000000-0010-0000-7300-00000C000000}" name="int"/>
    <tableColumn id="13" xr3:uid="{00000000-0010-0000-7300-00000D000000}" name="car"/>
    <tableColumn id="14" xr3:uid="{00000000-0010-0000-7300-00000E000000}" name="r_yd"/>
    <tableColumn id="15" xr3:uid="{00000000-0010-0000-7300-00000F000000}" name="r_td"/>
    <tableColumn id="16" xr3:uid="{00000000-0010-0000-7300-000010000000}" name="tgt"/>
    <tableColumn id="17" xr3:uid="{00000000-0010-0000-7300-000011000000}" name="rec"/>
    <tableColumn id="18" xr3:uid="{00000000-0010-0000-7300-000012000000}" name="rec_yd"/>
    <tableColumn id="19" xr3:uid="{00000000-0010-0000-7300-000013000000}" name="rec_td"/>
    <tableColumn id="20" xr3:uid="{00000000-0010-0000-7300-000014000000}" name="fmb"/>
    <tableColumn id="21" xr3:uid="{00000000-0010-0000-7300-000015000000}" name="tp_c"/>
    <tableColumn id="22" xr3:uid="{00000000-0010-0000-7300-000016000000}" name="f_ppr"/>
    <tableColumn id="23" xr3:uid="{00000000-0010-0000-7300-000017000000}" name="tgt_share"/>
    <tableColumn id="24" xr3:uid="{00000000-0010-0000-7300-000018000000}" name="ypc"/>
    <tableColumn id="25" xr3:uid="{00000000-0010-0000-7300-000019000000}" name="ypr"/>
    <tableColumn id="26" xr3:uid="{00000000-0010-0000-7300-00001A000000}" name="cmp_pct"/>
    <tableColumn id="27" xr3:uid="{00000000-0010-0000-7300-00001B000000}" name="td_rate"/>
    <tableColumn id="28" xr3:uid="{00000000-0010-0000-7300-00001C000000}" name="f_custom"/>
  </tableColumns>
  <tableStyleInfo name="TableStyleLight9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Table119" displayName="Table119" ref="A1:Y21" totalsRowShown="0">
  <autoFilter ref="A1:Y21" xr:uid="{00000000-0009-0000-0100-000077000000}"/>
  <tableColumns count="25">
    <tableColumn id="1" xr3:uid="{00000000-0010-0000-7400-000001000000}" name="player_name"/>
    <tableColumn id="2" xr3:uid="{00000000-0010-0000-7400-000002000000}" name="recent_team"/>
    <tableColumn id="3" xr3:uid="{00000000-0010-0000-7400-000003000000}" name="pos"/>
    <tableColumn id="4" xr3:uid="{00000000-0010-0000-7400-000004000000}" name="g"/>
    <tableColumn id="5" xr3:uid="{00000000-0010-0000-7400-000005000000}" name="p_att"/>
    <tableColumn id="6" xr3:uid="{00000000-0010-0000-7400-000006000000}" name="cmp"/>
    <tableColumn id="7" xr3:uid="{00000000-0010-0000-7400-000007000000}" name="p_yd"/>
    <tableColumn id="8" xr3:uid="{00000000-0010-0000-7400-000008000000}" name="p_td"/>
    <tableColumn id="9" xr3:uid="{00000000-0010-0000-7400-000009000000}" name="int"/>
    <tableColumn id="10" xr3:uid="{00000000-0010-0000-7400-00000A000000}" name="car"/>
    <tableColumn id="11" xr3:uid="{00000000-0010-0000-7400-00000B000000}" name="r_yd"/>
    <tableColumn id="12" xr3:uid="{00000000-0010-0000-7400-00000C000000}" name="r_td"/>
    <tableColumn id="13" xr3:uid="{00000000-0010-0000-7400-00000D000000}" name="tgt"/>
    <tableColumn id="14" xr3:uid="{00000000-0010-0000-7400-00000E000000}" name="rec"/>
    <tableColumn id="15" xr3:uid="{00000000-0010-0000-7400-00000F000000}" name="rec_yd"/>
    <tableColumn id="16" xr3:uid="{00000000-0010-0000-7400-000010000000}" name="rec_td"/>
    <tableColumn id="17" xr3:uid="{00000000-0010-0000-7400-000011000000}" name="fmb"/>
    <tableColumn id="18" xr3:uid="{00000000-0010-0000-7400-000012000000}" name="tp_c"/>
    <tableColumn id="19" xr3:uid="{00000000-0010-0000-7400-000013000000}" name="f_ppr"/>
    <tableColumn id="20" xr3:uid="{00000000-0010-0000-7400-000014000000}" name="tgt_share"/>
    <tableColumn id="21" xr3:uid="{00000000-0010-0000-7400-000015000000}" name="ypc"/>
    <tableColumn id="22" xr3:uid="{00000000-0010-0000-7400-000016000000}" name="ypr"/>
    <tableColumn id="23" xr3:uid="{00000000-0010-0000-7400-000017000000}" name="cmp_pct"/>
    <tableColumn id="24" xr3:uid="{00000000-0010-0000-7400-000018000000}" name="td_rate"/>
    <tableColumn id="25" xr3:uid="{00000000-0010-0000-7400-000019000000}" name="f_custom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Table120" displayName="Table120" ref="A30:L31" totalsRowShown="0">
  <autoFilter ref="A30:L31" xr:uid="{00000000-0009-0000-0100-000078000000}"/>
  <tableColumns count="12">
    <tableColumn id="1" xr3:uid="{00000000-0010-0000-7500-000001000000}" name="team"/>
    <tableColumn id="2" xr3:uid="{00000000-0010-0000-7500-000002000000}" name="off_yd"/>
    <tableColumn id="3" xr3:uid="{00000000-0010-0000-7500-000003000000}" name="p_yd"/>
    <tableColumn id="4" xr3:uid="{00000000-0010-0000-7500-000004000000}" name="car"/>
    <tableColumn id="5" xr3:uid="{00000000-0010-0000-7500-000005000000}" name="r_yd"/>
    <tableColumn id="6" xr3:uid="{00000000-0010-0000-7500-000006000000}" name="r_td"/>
    <tableColumn id="7" xr3:uid="{00000000-0010-0000-7500-000007000000}" name="p_ff"/>
    <tableColumn id="8" xr3:uid="{00000000-0010-0000-7500-000008000000}" name="p_att"/>
    <tableColumn id="9" xr3:uid="{00000000-0010-0000-7500-000009000000}" name="cmp_pct"/>
    <tableColumn id="10" xr3:uid="{00000000-0010-0000-7500-00000A000000}" name="p_td"/>
    <tableColumn id="11" xr3:uid="{00000000-0010-0000-7500-00000B000000}" name="int"/>
    <tableColumn id="12" xr3:uid="{00000000-0010-0000-7500-00000C000000}" name="fmb"/>
  </tableColumns>
  <tableStyleInfo name="TableStyleLight9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Table121" displayName="Table121" ref="A32:L33" totalsRowShown="0">
  <autoFilter ref="A32:L33" xr:uid="{00000000-0009-0000-0100-000079000000}"/>
  <tableColumns count="12">
    <tableColumn id="1" xr3:uid="{00000000-0010-0000-7600-000001000000}" name="team"/>
    <tableColumn id="2" xr3:uid="{00000000-0010-0000-7600-000002000000}" name="off_yd"/>
    <tableColumn id="3" xr3:uid="{00000000-0010-0000-7600-000003000000}" name="p_yd"/>
    <tableColumn id="4" xr3:uid="{00000000-0010-0000-7600-000004000000}" name="car"/>
    <tableColumn id="5" xr3:uid="{00000000-0010-0000-7600-000005000000}" name="r_yd"/>
    <tableColumn id="6" xr3:uid="{00000000-0010-0000-7600-000006000000}" name="r_td"/>
    <tableColumn id="7" xr3:uid="{00000000-0010-0000-7600-000007000000}" name="p_ff"/>
    <tableColumn id="8" xr3:uid="{00000000-0010-0000-7600-000008000000}" name="p_att"/>
    <tableColumn id="9" xr3:uid="{00000000-0010-0000-7600-000009000000}" name="cmp_pct"/>
    <tableColumn id="10" xr3:uid="{00000000-0010-0000-7600-00000A000000}" name="p_td"/>
    <tableColumn id="11" xr3:uid="{00000000-0010-0000-7600-00000B000000}" name="int"/>
    <tableColumn id="12" xr3:uid="{00000000-0010-0000-7600-00000C000000}" name="fmb"/>
  </tableColumns>
  <tableStyleInfo name="TableStyleLight9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Table122" displayName="Table122" ref="A35:AB61" totalsRowShown="0">
  <autoFilter ref="A35:AB61" xr:uid="{00000000-0009-0000-0100-00007A000000}"/>
  <tableColumns count="28">
    <tableColumn id="1" xr3:uid="{00000000-0010-0000-7700-000001000000}" name="Name"/>
    <tableColumn id="2" xr3:uid="{00000000-0010-0000-7700-000002000000}" name="POS"/>
    <tableColumn id="3" xr3:uid="{00000000-0010-0000-7700-000003000000}" name="Age"/>
    <tableColumn id="4" xr3:uid="{00000000-0010-0000-7700-000004000000}" name="Exp"/>
    <tableColumn id="5" xr3:uid="{00000000-0010-0000-7700-000005000000}" name="College"/>
    <tableColumn id="6" xr3:uid="{00000000-0010-0000-7700-000006000000}" name="team"/>
    <tableColumn id="7" xr3:uid="{00000000-0010-0000-7700-000007000000}" name="g"/>
    <tableColumn id="8" xr3:uid="{00000000-0010-0000-7700-000008000000}" name="p_att"/>
    <tableColumn id="9" xr3:uid="{00000000-0010-0000-7700-000009000000}" name="cmp"/>
    <tableColumn id="10" xr3:uid="{00000000-0010-0000-7700-00000A000000}" name="p_yd"/>
    <tableColumn id="11" xr3:uid="{00000000-0010-0000-7700-00000B000000}" name="p_td"/>
    <tableColumn id="12" xr3:uid="{00000000-0010-0000-7700-00000C000000}" name="int"/>
    <tableColumn id="13" xr3:uid="{00000000-0010-0000-7700-00000D000000}" name="car"/>
    <tableColumn id="14" xr3:uid="{00000000-0010-0000-7700-00000E000000}" name="r_yd"/>
    <tableColumn id="15" xr3:uid="{00000000-0010-0000-7700-00000F000000}" name="r_td"/>
    <tableColumn id="16" xr3:uid="{00000000-0010-0000-7700-000010000000}" name="tgt"/>
    <tableColumn id="17" xr3:uid="{00000000-0010-0000-7700-000011000000}" name="rec"/>
    <tableColumn id="18" xr3:uid="{00000000-0010-0000-7700-000012000000}" name="rec_yd"/>
    <tableColumn id="19" xr3:uid="{00000000-0010-0000-7700-000013000000}" name="rec_td"/>
    <tableColumn id="20" xr3:uid="{00000000-0010-0000-7700-000014000000}" name="fmb"/>
    <tableColumn id="21" xr3:uid="{00000000-0010-0000-7700-000015000000}" name="tp_c"/>
    <tableColumn id="22" xr3:uid="{00000000-0010-0000-7700-000016000000}" name="f_ppr"/>
    <tableColumn id="23" xr3:uid="{00000000-0010-0000-7700-000017000000}" name="tgt_share"/>
    <tableColumn id="24" xr3:uid="{00000000-0010-0000-7700-000018000000}" name="ypc"/>
    <tableColumn id="25" xr3:uid="{00000000-0010-0000-7700-000019000000}" name="ypr"/>
    <tableColumn id="26" xr3:uid="{00000000-0010-0000-7700-00001A000000}" name="cmp_pct"/>
    <tableColumn id="27" xr3:uid="{00000000-0010-0000-7700-00001B000000}" name="td_rate"/>
    <tableColumn id="28" xr3:uid="{00000000-0010-0000-7700-00001C000000}" name="f_custom"/>
  </tableColumns>
  <tableStyleInfo name="TableStyleLight9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Table123" displayName="Table123" ref="A1:Y22" totalsRowShown="0">
  <autoFilter ref="A1:Y22" xr:uid="{00000000-0009-0000-0100-00007B000000}"/>
  <tableColumns count="25">
    <tableColumn id="1" xr3:uid="{00000000-0010-0000-7800-000001000000}" name="player_name"/>
    <tableColumn id="2" xr3:uid="{00000000-0010-0000-7800-000002000000}" name="recent_team"/>
    <tableColumn id="3" xr3:uid="{00000000-0010-0000-7800-000003000000}" name="pos"/>
    <tableColumn id="4" xr3:uid="{00000000-0010-0000-7800-000004000000}" name="g"/>
    <tableColumn id="5" xr3:uid="{00000000-0010-0000-7800-000005000000}" name="p_att"/>
    <tableColumn id="6" xr3:uid="{00000000-0010-0000-7800-000006000000}" name="cmp"/>
    <tableColumn id="7" xr3:uid="{00000000-0010-0000-7800-000007000000}" name="p_yd"/>
    <tableColumn id="8" xr3:uid="{00000000-0010-0000-7800-000008000000}" name="p_td"/>
    <tableColumn id="9" xr3:uid="{00000000-0010-0000-7800-000009000000}" name="int"/>
    <tableColumn id="10" xr3:uid="{00000000-0010-0000-7800-00000A000000}" name="car"/>
    <tableColumn id="11" xr3:uid="{00000000-0010-0000-7800-00000B000000}" name="r_yd"/>
    <tableColumn id="12" xr3:uid="{00000000-0010-0000-7800-00000C000000}" name="r_td"/>
    <tableColumn id="13" xr3:uid="{00000000-0010-0000-7800-00000D000000}" name="tgt"/>
    <tableColumn id="14" xr3:uid="{00000000-0010-0000-7800-00000E000000}" name="rec"/>
    <tableColumn id="15" xr3:uid="{00000000-0010-0000-7800-00000F000000}" name="rec_yd"/>
    <tableColumn id="16" xr3:uid="{00000000-0010-0000-7800-000010000000}" name="rec_td"/>
    <tableColumn id="17" xr3:uid="{00000000-0010-0000-7800-000011000000}" name="fmb"/>
    <tableColumn id="18" xr3:uid="{00000000-0010-0000-7800-000012000000}" name="tp_c"/>
    <tableColumn id="19" xr3:uid="{00000000-0010-0000-7800-000013000000}" name="f_ppr"/>
    <tableColumn id="20" xr3:uid="{00000000-0010-0000-7800-000014000000}" name="tgt_share"/>
    <tableColumn id="21" xr3:uid="{00000000-0010-0000-7800-000015000000}" name="ypc"/>
    <tableColumn id="22" xr3:uid="{00000000-0010-0000-7800-000016000000}" name="ypr"/>
    <tableColumn id="23" xr3:uid="{00000000-0010-0000-7800-000017000000}" name="cmp_pct"/>
    <tableColumn id="24" xr3:uid="{00000000-0010-0000-7800-000018000000}" name="td_rate"/>
    <tableColumn id="25" xr3:uid="{00000000-0010-0000-7800-000019000000}" name="f_custom"/>
  </tableColumns>
  <tableStyleInfo name="TableStyleLight9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Table124" displayName="Table124" ref="A30:L31" totalsRowShown="0">
  <autoFilter ref="A30:L31" xr:uid="{00000000-0009-0000-0100-00007C000000}"/>
  <tableColumns count="12">
    <tableColumn id="1" xr3:uid="{00000000-0010-0000-7900-000001000000}" name="team"/>
    <tableColumn id="2" xr3:uid="{00000000-0010-0000-7900-000002000000}" name="off_yd"/>
    <tableColumn id="3" xr3:uid="{00000000-0010-0000-7900-000003000000}" name="p_yd"/>
    <tableColumn id="4" xr3:uid="{00000000-0010-0000-7900-000004000000}" name="car"/>
    <tableColumn id="5" xr3:uid="{00000000-0010-0000-7900-000005000000}" name="r_yd"/>
    <tableColumn id="6" xr3:uid="{00000000-0010-0000-7900-000006000000}" name="r_td"/>
    <tableColumn id="7" xr3:uid="{00000000-0010-0000-7900-000007000000}" name="p_ff"/>
    <tableColumn id="8" xr3:uid="{00000000-0010-0000-7900-000008000000}" name="p_att"/>
    <tableColumn id="9" xr3:uid="{00000000-0010-0000-7900-000009000000}" name="cmp_pct"/>
    <tableColumn id="10" xr3:uid="{00000000-0010-0000-7900-00000A000000}" name="p_td"/>
    <tableColumn id="11" xr3:uid="{00000000-0010-0000-7900-00000B000000}" name="int"/>
    <tableColumn id="12" xr3:uid="{00000000-0010-0000-7900-00000C000000}" name="fmb"/>
  </tableColumns>
  <tableStyleInfo name="TableStyleLight9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Table125" displayName="Table125" ref="A32:L33" totalsRowShown="0">
  <autoFilter ref="A32:L33" xr:uid="{00000000-0009-0000-0100-00007D000000}"/>
  <tableColumns count="12">
    <tableColumn id="1" xr3:uid="{00000000-0010-0000-7A00-000001000000}" name="team"/>
    <tableColumn id="2" xr3:uid="{00000000-0010-0000-7A00-000002000000}" name="off_yd"/>
    <tableColumn id="3" xr3:uid="{00000000-0010-0000-7A00-000003000000}" name="p_yd"/>
    <tableColumn id="4" xr3:uid="{00000000-0010-0000-7A00-000004000000}" name="car"/>
    <tableColumn id="5" xr3:uid="{00000000-0010-0000-7A00-000005000000}" name="r_yd"/>
    <tableColumn id="6" xr3:uid="{00000000-0010-0000-7A00-000006000000}" name="r_td"/>
    <tableColumn id="7" xr3:uid="{00000000-0010-0000-7A00-000007000000}" name="p_ff"/>
    <tableColumn id="8" xr3:uid="{00000000-0010-0000-7A00-000008000000}" name="p_att"/>
    <tableColumn id="9" xr3:uid="{00000000-0010-0000-7A00-000009000000}" name="cmp_pct"/>
    <tableColumn id="10" xr3:uid="{00000000-0010-0000-7A00-00000A000000}" name="p_td"/>
    <tableColumn id="11" xr3:uid="{00000000-0010-0000-7A00-00000B000000}" name="int"/>
    <tableColumn id="12" xr3:uid="{00000000-0010-0000-7A00-00000C000000}" name="fmb"/>
  </tableColumns>
  <tableStyleInfo name="TableStyleLight9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Table126" displayName="Table126" ref="A35:AB63" totalsRowShown="0">
  <autoFilter ref="A35:AB63" xr:uid="{00000000-0009-0000-0100-00007E000000}"/>
  <tableColumns count="28">
    <tableColumn id="1" xr3:uid="{00000000-0010-0000-7B00-000001000000}" name="Name"/>
    <tableColumn id="2" xr3:uid="{00000000-0010-0000-7B00-000002000000}" name="POS"/>
    <tableColumn id="3" xr3:uid="{00000000-0010-0000-7B00-000003000000}" name="Age"/>
    <tableColumn id="4" xr3:uid="{00000000-0010-0000-7B00-000004000000}" name="Exp"/>
    <tableColumn id="5" xr3:uid="{00000000-0010-0000-7B00-000005000000}" name="College"/>
    <tableColumn id="6" xr3:uid="{00000000-0010-0000-7B00-000006000000}" name="team"/>
    <tableColumn id="7" xr3:uid="{00000000-0010-0000-7B00-000007000000}" name="g"/>
    <tableColumn id="8" xr3:uid="{00000000-0010-0000-7B00-000008000000}" name="p_att"/>
    <tableColumn id="9" xr3:uid="{00000000-0010-0000-7B00-000009000000}" name="cmp"/>
    <tableColumn id="10" xr3:uid="{00000000-0010-0000-7B00-00000A000000}" name="p_yd"/>
    <tableColumn id="11" xr3:uid="{00000000-0010-0000-7B00-00000B000000}" name="p_td"/>
    <tableColumn id="12" xr3:uid="{00000000-0010-0000-7B00-00000C000000}" name="int"/>
    <tableColumn id="13" xr3:uid="{00000000-0010-0000-7B00-00000D000000}" name="car"/>
    <tableColumn id="14" xr3:uid="{00000000-0010-0000-7B00-00000E000000}" name="r_yd"/>
    <tableColumn id="15" xr3:uid="{00000000-0010-0000-7B00-00000F000000}" name="r_td"/>
    <tableColumn id="16" xr3:uid="{00000000-0010-0000-7B00-000010000000}" name="tgt"/>
    <tableColumn id="17" xr3:uid="{00000000-0010-0000-7B00-000011000000}" name="rec"/>
    <tableColumn id="18" xr3:uid="{00000000-0010-0000-7B00-000012000000}" name="rec_yd"/>
    <tableColumn id="19" xr3:uid="{00000000-0010-0000-7B00-000013000000}" name="rec_td"/>
    <tableColumn id="20" xr3:uid="{00000000-0010-0000-7B00-000014000000}" name="fmb"/>
    <tableColumn id="21" xr3:uid="{00000000-0010-0000-7B00-000015000000}" name="tp_c"/>
    <tableColumn id="22" xr3:uid="{00000000-0010-0000-7B00-000016000000}" name="f_ppr"/>
    <tableColumn id="23" xr3:uid="{00000000-0010-0000-7B00-000017000000}" name="tgt_share"/>
    <tableColumn id="24" xr3:uid="{00000000-0010-0000-7B00-000018000000}" name="ypc"/>
    <tableColumn id="25" xr3:uid="{00000000-0010-0000-7B00-000019000000}" name="ypr"/>
    <tableColumn id="26" xr3:uid="{00000000-0010-0000-7B00-00001A000000}" name="cmp_pct"/>
    <tableColumn id="27" xr3:uid="{00000000-0010-0000-7B00-00001B000000}" name="td_rate"/>
    <tableColumn id="28" xr3:uid="{00000000-0010-0000-7B00-00001C000000}" name="f_custom"/>
  </tableColumns>
  <tableStyleInfo name="TableStyleLight9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Table127" displayName="Table127" ref="A1:Y20" totalsRowShown="0">
  <autoFilter ref="A1:Y20" xr:uid="{00000000-0009-0000-0100-00007F000000}"/>
  <tableColumns count="25">
    <tableColumn id="1" xr3:uid="{00000000-0010-0000-7C00-000001000000}" name="player_name"/>
    <tableColumn id="2" xr3:uid="{00000000-0010-0000-7C00-000002000000}" name="recent_team"/>
    <tableColumn id="3" xr3:uid="{00000000-0010-0000-7C00-000003000000}" name="pos"/>
    <tableColumn id="4" xr3:uid="{00000000-0010-0000-7C00-000004000000}" name="g"/>
    <tableColumn id="5" xr3:uid="{00000000-0010-0000-7C00-000005000000}" name="p_att"/>
    <tableColumn id="6" xr3:uid="{00000000-0010-0000-7C00-000006000000}" name="cmp"/>
    <tableColumn id="7" xr3:uid="{00000000-0010-0000-7C00-000007000000}" name="p_yd"/>
    <tableColumn id="8" xr3:uid="{00000000-0010-0000-7C00-000008000000}" name="p_td"/>
    <tableColumn id="9" xr3:uid="{00000000-0010-0000-7C00-000009000000}" name="int"/>
    <tableColumn id="10" xr3:uid="{00000000-0010-0000-7C00-00000A000000}" name="car"/>
    <tableColumn id="11" xr3:uid="{00000000-0010-0000-7C00-00000B000000}" name="r_yd"/>
    <tableColumn id="12" xr3:uid="{00000000-0010-0000-7C00-00000C000000}" name="r_td"/>
    <tableColumn id="13" xr3:uid="{00000000-0010-0000-7C00-00000D000000}" name="tgt"/>
    <tableColumn id="14" xr3:uid="{00000000-0010-0000-7C00-00000E000000}" name="rec"/>
    <tableColumn id="15" xr3:uid="{00000000-0010-0000-7C00-00000F000000}" name="rec_yd"/>
    <tableColumn id="16" xr3:uid="{00000000-0010-0000-7C00-000010000000}" name="rec_td"/>
    <tableColumn id="17" xr3:uid="{00000000-0010-0000-7C00-000011000000}" name="fmb"/>
    <tableColumn id="18" xr3:uid="{00000000-0010-0000-7C00-000012000000}" name="tp_c"/>
    <tableColumn id="19" xr3:uid="{00000000-0010-0000-7C00-000013000000}" name="f_ppr"/>
    <tableColumn id="20" xr3:uid="{00000000-0010-0000-7C00-000014000000}" name="tgt_share"/>
    <tableColumn id="21" xr3:uid="{00000000-0010-0000-7C00-000015000000}" name="ypc"/>
    <tableColumn id="22" xr3:uid="{00000000-0010-0000-7C00-000016000000}" name="ypr"/>
    <tableColumn id="23" xr3:uid="{00000000-0010-0000-7C00-000017000000}" name="cmp_pct"/>
    <tableColumn id="24" xr3:uid="{00000000-0010-0000-7C00-000018000000}" name="td_rate"/>
    <tableColumn id="25" xr3:uid="{00000000-0010-0000-7C00-000019000000}" name="f_custom"/>
  </tableColumns>
  <tableStyleInfo name="TableStyleLight9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Table128" displayName="Table128" ref="A30:L31" totalsRowShown="0">
  <autoFilter ref="A30:L31" xr:uid="{00000000-0009-0000-0100-000080000000}"/>
  <tableColumns count="12">
    <tableColumn id="1" xr3:uid="{00000000-0010-0000-7D00-000001000000}" name="team"/>
    <tableColumn id="2" xr3:uid="{00000000-0010-0000-7D00-000002000000}" name="off_yd"/>
    <tableColumn id="3" xr3:uid="{00000000-0010-0000-7D00-000003000000}" name="p_yd"/>
    <tableColumn id="4" xr3:uid="{00000000-0010-0000-7D00-000004000000}" name="car"/>
    <tableColumn id="5" xr3:uid="{00000000-0010-0000-7D00-000005000000}" name="r_yd"/>
    <tableColumn id="6" xr3:uid="{00000000-0010-0000-7D00-000006000000}" name="r_td"/>
    <tableColumn id="7" xr3:uid="{00000000-0010-0000-7D00-000007000000}" name="p_ff"/>
    <tableColumn id="8" xr3:uid="{00000000-0010-0000-7D00-000008000000}" name="p_att"/>
    <tableColumn id="9" xr3:uid="{00000000-0010-0000-7D00-000009000000}" name="cmp_pct"/>
    <tableColumn id="10" xr3:uid="{00000000-0010-0000-7D00-00000A000000}" name="p_td"/>
    <tableColumn id="11" xr3:uid="{00000000-0010-0000-7D00-00000B000000}" name="int"/>
    <tableColumn id="12" xr3:uid="{00000000-0010-0000-7D00-00000C000000}" name="fmb"/>
  </tableColumns>
  <tableStyleInfo name="TableStyleLight9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Table129" displayName="Table129" ref="A32:L33" totalsRowShown="0">
  <autoFilter ref="A32:L33" xr:uid="{00000000-0009-0000-0100-000081000000}"/>
  <tableColumns count="12">
    <tableColumn id="1" xr3:uid="{00000000-0010-0000-7E00-000001000000}" name="team"/>
    <tableColumn id="2" xr3:uid="{00000000-0010-0000-7E00-000002000000}" name="off_yd"/>
    <tableColumn id="3" xr3:uid="{00000000-0010-0000-7E00-000003000000}" name="p_yd"/>
    <tableColumn id="4" xr3:uid="{00000000-0010-0000-7E00-000004000000}" name="car"/>
    <tableColumn id="5" xr3:uid="{00000000-0010-0000-7E00-000005000000}" name="r_yd"/>
    <tableColumn id="6" xr3:uid="{00000000-0010-0000-7E00-000006000000}" name="r_td"/>
    <tableColumn id="7" xr3:uid="{00000000-0010-0000-7E00-000007000000}" name="p_ff"/>
    <tableColumn id="8" xr3:uid="{00000000-0010-0000-7E00-000008000000}" name="p_att"/>
    <tableColumn id="9" xr3:uid="{00000000-0010-0000-7E00-000009000000}" name="cmp_pct"/>
    <tableColumn id="10" xr3:uid="{00000000-0010-0000-7E00-00000A000000}" name="p_td"/>
    <tableColumn id="11" xr3:uid="{00000000-0010-0000-7E00-00000B000000}" name="int"/>
    <tableColumn id="12" xr3:uid="{00000000-0010-0000-7E00-00000C000000}" name="fmb"/>
  </tableColumns>
  <tableStyleInfo name="TableStyleLight9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Table130" displayName="Table130" ref="A35:AB36" totalsRowShown="0">
  <autoFilter ref="A35:AB36" xr:uid="{00000000-0009-0000-0100-000082000000}"/>
  <tableColumns count="28">
    <tableColumn id="1" xr3:uid="{00000000-0010-0000-7F00-000001000000}" name="Name"/>
    <tableColumn id="2" xr3:uid="{00000000-0010-0000-7F00-000002000000}" name="POS"/>
    <tableColumn id="3" xr3:uid="{00000000-0010-0000-7F00-000003000000}" name="Age"/>
    <tableColumn id="4" xr3:uid="{00000000-0010-0000-7F00-000004000000}" name="Exp"/>
    <tableColumn id="5" xr3:uid="{00000000-0010-0000-7F00-000005000000}" name="College"/>
    <tableColumn id="6" xr3:uid="{00000000-0010-0000-7F00-000006000000}" name="team"/>
    <tableColumn id="7" xr3:uid="{00000000-0010-0000-7F00-000007000000}" name="g"/>
    <tableColumn id="8" xr3:uid="{00000000-0010-0000-7F00-000008000000}" name="p_att"/>
    <tableColumn id="9" xr3:uid="{00000000-0010-0000-7F00-000009000000}" name="cmp"/>
    <tableColumn id="10" xr3:uid="{00000000-0010-0000-7F00-00000A000000}" name="p_yd"/>
    <tableColumn id="11" xr3:uid="{00000000-0010-0000-7F00-00000B000000}" name="p_td"/>
    <tableColumn id="12" xr3:uid="{00000000-0010-0000-7F00-00000C000000}" name="int"/>
    <tableColumn id="13" xr3:uid="{00000000-0010-0000-7F00-00000D000000}" name="car"/>
    <tableColumn id="14" xr3:uid="{00000000-0010-0000-7F00-00000E000000}" name="r_yd"/>
    <tableColumn id="15" xr3:uid="{00000000-0010-0000-7F00-00000F000000}" name="r_td"/>
    <tableColumn id="16" xr3:uid="{00000000-0010-0000-7F00-000010000000}" name="tgt"/>
    <tableColumn id="17" xr3:uid="{00000000-0010-0000-7F00-000011000000}" name="rec"/>
    <tableColumn id="18" xr3:uid="{00000000-0010-0000-7F00-000012000000}" name="rec_yd"/>
    <tableColumn id="19" xr3:uid="{00000000-0010-0000-7F00-000013000000}" name="rec_td"/>
    <tableColumn id="20" xr3:uid="{00000000-0010-0000-7F00-000014000000}" name="fmb"/>
    <tableColumn id="21" xr3:uid="{00000000-0010-0000-7F00-000015000000}" name="tp_c"/>
    <tableColumn id="22" xr3:uid="{00000000-0010-0000-7F00-000016000000}" name="f_ppr"/>
    <tableColumn id="23" xr3:uid="{00000000-0010-0000-7F00-000017000000}" name="tgt_share"/>
    <tableColumn id="24" xr3:uid="{00000000-0010-0000-7F00-000018000000}" name="ypc"/>
    <tableColumn id="25" xr3:uid="{00000000-0010-0000-7F00-000019000000}" name="ypr"/>
    <tableColumn id="26" xr3:uid="{00000000-0010-0000-7F00-00001A000000}" name="cmp_pct"/>
    <tableColumn id="27" xr3:uid="{00000000-0010-0000-7F00-00001B000000}" name="td_rate"/>
    <tableColumn id="28" xr3:uid="{00000000-0010-0000-7F00-00001C000000}" name="f_custo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Relationship Id="rId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Relationship Id="rId4" Type="http://schemas.openxmlformats.org/officeDocument/2006/relationships/table" Target="../tables/table2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4" Type="http://schemas.openxmlformats.org/officeDocument/2006/relationships/table" Target="../tables/table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Relationship Id="rId4" Type="http://schemas.openxmlformats.org/officeDocument/2006/relationships/table" Target="../tables/table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table" Target="../tables/table38.xml"/><Relationship Id="rId4" Type="http://schemas.openxmlformats.org/officeDocument/2006/relationships/table" Target="../tables/table4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table" Target="../tables/table42.xml"/><Relationship Id="rId4" Type="http://schemas.openxmlformats.org/officeDocument/2006/relationships/table" Target="../tables/table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table" Target="../tables/table47.xml"/><Relationship Id="rId1" Type="http://schemas.openxmlformats.org/officeDocument/2006/relationships/table" Target="../tables/table46.xml"/><Relationship Id="rId4" Type="http://schemas.openxmlformats.org/officeDocument/2006/relationships/table" Target="../tables/table4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4" Type="http://schemas.openxmlformats.org/officeDocument/2006/relationships/table" Target="../tables/table5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table" Target="../tables/table54.xml"/><Relationship Id="rId4" Type="http://schemas.openxmlformats.org/officeDocument/2006/relationships/table" Target="../tables/table5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Relationship Id="rId4" Type="http://schemas.openxmlformats.org/officeDocument/2006/relationships/table" Target="../tables/table6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table" Target="../tables/table63.xml"/><Relationship Id="rId1" Type="http://schemas.openxmlformats.org/officeDocument/2006/relationships/table" Target="../tables/table62.xml"/><Relationship Id="rId4" Type="http://schemas.openxmlformats.org/officeDocument/2006/relationships/table" Target="../tables/table6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table" Target="../tables/table67.xml"/><Relationship Id="rId1" Type="http://schemas.openxmlformats.org/officeDocument/2006/relationships/table" Target="../tables/table66.xml"/><Relationship Id="rId4" Type="http://schemas.openxmlformats.org/officeDocument/2006/relationships/table" Target="../tables/table6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table" Target="../tables/table71.xml"/><Relationship Id="rId1" Type="http://schemas.openxmlformats.org/officeDocument/2006/relationships/table" Target="../tables/table70.xml"/><Relationship Id="rId4" Type="http://schemas.openxmlformats.org/officeDocument/2006/relationships/table" Target="../tables/table7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2" Type="http://schemas.openxmlformats.org/officeDocument/2006/relationships/table" Target="../tables/table75.xml"/><Relationship Id="rId1" Type="http://schemas.openxmlformats.org/officeDocument/2006/relationships/table" Target="../tables/table74.xml"/><Relationship Id="rId4" Type="http://schemas.openxmlformats.org/officeDocument/2006/relationships/table" Target="../tables/table7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4" Type="http://schemas.openxmlformats.org/officeDocument/2006/relationships/table" Target="../tables/table8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4.xml"/><Relationship Id="rId2" Type="http://schemas.openxmlformats.org/officeDocument/2006/relationships/table" Target="../tables/table83.xml"/><Relationship Id="rId1" Type="http://schemas.openxmlformats.org/officeDocument/2006/relationships/table" Target="../tables/table82.xml"/><Relationship Id="rId4" Type="http://schemas.openxmlformats.org/officeDocument/2006/relationships/table" Target="../tables/table8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8.xml"/><Relationship Id="rId2" Type="http://schemas.openxmlformats.org/officeDocument/2006/relationships/table" Target="../tables/table87.xml"/><Relationship Id="rId1" Type="http://schemas.openxmlformats.org/officeDocument/2006/relationships/table" Target="../tables/table86.xml"/><Relationship Id="rId4" Type="http://schemas.openxmlformats.org/officeDocument/2006/relationships/table" Target="../tables/table8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table" Target="../tables/table91.xml"/><Relationship Id="rId1" Type="http://schemas.openxmlformats.org/officeDocument/2006/relationships/table" Target="../tables/table90.xml"/><Relationship Id="rId4" Type="http://schemas.openxmlformats.org/officeDocument/2006/relationships/table" Target="../tables/table9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6.xml"/><Relationship Id="rId2" Type="http://schemas.openxmlformats.org/officeDocument/2006/relationships/table" Target="../tables/table95.xml"/><Relationship Id="rId1" Type="http://schemas.openxmlformats.org/officeDocument/2006/relationships/table" Target="../tables/table94.xml"/><Relationship Id="rId4" Type="http://schemas.openxmlformats.org/officeDocument/2006/relationships/table" Target="../tables/table9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0.xml"/><Relationship Id="rId2" Type="http://schemas.openxmlformats.org/officeDocument/2006/relationships/table" Target="../tables/table99.xml"/><Relationship Id="rId1" Type="http://schemas.openxmlformats.org/officeDocument/2006/relationships/table" Target="../tables/table98.xml"/><Relationship Id="rId4" Type="http://schemas.openxmlformats.org/officeDocument/2006/relationships/table" Target="../tables/table10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4.xml"/><Relationship Id="rId2" Type="http://schemas.openxmlformats.org/officeDocument/2006/relationships/table" Target="../tables/table103.xml"/><Relationship Id="rId1" Type="http://schemas.openxmlformats.org/officeDocument/2006/relationships/table" Target="../tables/table102.xml"/><Relationship Id="rId4" Type="http://schemas.openxmlformats.org/officeDocument/2006/relationships/table" Target="../tables/table10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4" Type="http://schemas.openxmlformats.org/officeDocument/2006/relationships/table" Target="../tables/table10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2" Type="http://schemas.openxmlformats.org/officeDocument/2006/relationships/table" Target="../tables/table111.xml"/><Relationship Id="rId1" Type="http://schemas.openxmlformats.org/officeDocument/2006/relationships/table" Target="../tables/table110.xml"/><Relationship Id="rId4" Type="http://schemas.openxmlformats.org/officeDocument/2006/relationships/table" Target="../tables/table1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table" Target="../tables/table115.xml"/><Relationship Id="rId1" Type="http://schemas.openxmlformats.org/officeDocument/2006/relationships/table" Target="../tables/table114.xml"/><Relationship Id="rId4" Type="http://schemas.openxmlformats.org/officeDocument/2006/relationships/table" Target="../tables/table1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0.xml"/><Relationship Id="rId2" Type="http://schemas.openxmlformats.org/officeDocument/2006/relationships/table" Target="../tables/table119.xml"/><Relationship Id="rId1" Type="http://schemas.openxmlformats.org/officeDocument/2006/relationships/table" Target="../tables/table118.xml"/><Relationship Id="rId4" Type="http://schemas.openxmlformats.org/officeDocument/2006/relationships/table" Target="../tables/table12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4.xml"/><Relationship Id="rId2" Type="http://schemas.openxmlformats.org/officeDocument/2006/relationships/table" Target="../tables/table123.xml"/><Relationship Id="rId1" Type="http://schemas.openxmlformats.org/officeDocument/2006/relationships/table" Target="../tables/table122.xml"/><Relationship Id="rId4" Type="http://schemas.openxmlformats.org/officeDocument/2006/relationships/table" Target="../tables/table12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8.xml"/><Relationship Id="rId2" Type="http://schemas.openxmlformats.org/officeDocument/2006/relationships/table" Target="../tables/table127.xml"/><Relationship Id="rId1" Type="http://schemas.openxmlformats.org/officeDocument/2006/relationships/table" Target="../tables/table126.xml"/><Relationship Id="rId4" Type="http://schemas.openxmlformats.org/officeDocument/2006/relationships/table" Target="../tables/table1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28E66-9B84-2C4D-9335-E658472B8E44}">
  <sheetPr codeName="Sheet1"/>
  <dimension ref="A1:AB818"/>
  <sheetViews>
    <sheetView tabSelected="1" zoomScaleNormal="100" workbookViewId="0">
      <selection activeCell="J6" sqref="J6"/>
    </sheetView>
  </sheetViews>
  <sheetFormatPr baseColWidth="10" defaultRowHeight="15" x14ac:dyDescent="0.2"/>
  <cols>
    <col min="1" max="1" width="22.6640625" bestFit="1" customWidth="1"/>
    <col min="2" max="3" width="6.5" customWidth="1"/>
    <col min="4" max="4" width="6.1640625" customWidth="1"/>
    <col min="5" max="5" width="19.83203125" bestFit="1" customWidth="1"/>
    <col min="6" max="6" width="7.5" customWidth="1"/>
    <col min="7" max="7" width="4.33203125" customWidth="1"/>
    <col min="8" max="8" width="7.5" customWidth="1"/>
    <col min="9" max="9" width="6.83203125" customWidth="1"/>
    <col min="10" max="10" width="7.1640625" customWidth="1"/>
    <col min="11" max="11" width="7" customWidth="1"/>
    <col min="12" max="12" width="5.6640625" customWidth="1"/>
    <col min="13" max="13" width="5.83203125" customWidth="1"/>
    <col min="14" max="14" width="6.83203125" customWidth="1"/>
    <col min="15" max="15" width="6.6640625" customWidth="1"/>
    <col min="16" max="16" width="5.6640625" customWidth="1"/>
    <col min="17" max="17" width="6" customWidth="1"/>
    <col min="18" max="18" width="8.6640625" customWidth="1"/>
    <col min="19" max="19" width="8.5" customWidth="1"/>
    <col min="20" max="20" width="6.5" customWidth="1"/>
    <col min="21" max="21" width="6.83203125" customWidth="1"/>
    <col min="22" max="22" width="7.5" customWidth="1"/>
    <col min="23" max="23" width="12.1640625" bestFit="1" customWidth="1"/>
    <col min="24" max="24" width="6.1640625" customWidth="1"/>
    <col min="25" max="25" width="6" customWidth="1"/>
    <col min="26" max="26" width="10.1640625" customWidth="1"/>
    <col min="27" max="27" width="9.1640625" customWidth="1"/>
    <col min="28" max="28" width="10.5" customWidth="1"/>
  </cols>
  <sheetData>
    <row r="1" spans="1:28" x14ac:dyDescent="0.2">
      <c r="A1" s="7" t="s">
        <v>57</v>
      </c>
      <c r="B1" s="7" t="s">
        <v>58</v>
      </c>
      <c r="C1" s="7" t="s">
        <v>59</v>
      </c>
      <c r="D1" s="7" t="s">
        <v>60</v>
      </c>
      <c r="E1" s="7" t="s">
        <v>61</v>
      </c>
      <c r="F1" s="7" t="s">
        <v>53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18</v>
      </c>
      <c r="W1" s="7" t="s">
        <v>19</v>
      </c>
      <c r="X1" s="7" t="s">
        <v>20</v>
      </c>
      <c r="Y1" s="7" t="s">
        <v>21</v>
      </c>
      <c r="Z1" s="7" t="s">
        <v>22</v>
      </c>
      <c r="AA1" s="7" t="s">
        <v>23</v>
      </c>
      <c r="AB1" s="7" t="s">
        <v>24</v>
      </c>
    </row>
    <row r="2" spans="1:28" x14ac:dyDescent="0.2">
      <c r="A2" s="2" t="s">
        <v>56</v>
      </c>
      <c r="B2" s="2" t="s">
        <v>56</v>
      </c>
      <c r="C2" s="2" t="s">
        <v>56</v>
      </c>
      <c r="D2" s="2" t="s">
        <v>56</v>
      </c>
      <c r="E2" s="2" t="s">
        <v>56</v>
      </c>
      <c r="F2" s="2" t="s">
        <v>56</v>
      </c>
      <c r="G2" s="2" t="s">
        <v>56</v>
      </c>
      <c r="H2" s="2" t="s">
        <v>56</v>
      </c>
      <c r="I2" s="2" t="s">
        <v>56</v>
      </c>
      <c r="J2" s="2" t="s">
        <v>56</v>
      </c>
      <c r="K2" s="2" t="s">
        <v>56</v>
      </c>
      <c r="L2" s="2" t="s">
        <v>56</v>
      </c>
      <c r="M2" s="2" t="s">
        <v>56</v>
      </c>
      <c r="N2" s="2" t="s">
        <v>56</v>
      </c>
      <c r="O2" s="2" t="s">
        <v>56</v>
      </c>
      <c r="P2" s="2" t="s">
        <v>56</v>
      </c>
      <c r="Q2" s="2" t="s">
        <v>56</v>
      </c>
      <c r="R2" s="2" t="s">
        <v>56</v>
      </c>
      <c r="S2" s="2" t="s">
        <v>56</v>
      </c>
      <c r="T2" s="2" t="s">
        <v>56</v>
      </c>
      <c r="U2" s="2" t="s">
        <v>56</v>
      </c>
      <c r="V2" s="2" t="s">
        <v>56</v>
      </c>
      <c r="W2" s="2" t="s">
        <v>56</v>
      </c>
      <c r="X2" s="2" t="s">
        <v>56</v>
      </c>
      <c r="Y2" s="2" t="s">
        <v>56</v>
      </c>
      <c r="Z2" s="2" t="s">
        <v>56</v>
      </c>
      <c r="AA2" s="2" t="s">
        <v>56</v>
      </c>
      <c r="AB2" s="2" t="s">
        <v>56</v>
      </c>
    </row>
    <row r="3" spans="1:28" x14ac:dyDescent="0.2">
      <c r="A3" s="2" t="s">
        <v>66</v>
      </c>
      <c r="B3" s="2" t="s">
        <v>27</v>
      </c>
      <c r="C3" s="2">
        <v>36</v>
      </c>
      <c r="D3" s="2">
        <v>14</v>
      </c>
      <c r="E3" s="2" t="s">
        <v>67</v>
      </c>
      <c r="F3" s="2" t="s">
        <v>26</v>
      </c>
      <c r="G3" s="2">
        <v>13</v>
      </c>
      <c r="H3" s="2">
        <v>450</v>
      </c>
      <c r="I3" s="2">
        <v>300</v>
      </c>
      <c r="J3" s="2">
        <v>3500</v>
      </c>
      <c r="K3" s="2">
        <v>20</v>
      </c>
      <c r="L3" s="2">
        <v>8</v>
      </c>
      <c r="M3" s="2">
        <v>67</v>
      </c>
      <c r="N3" s="2">
        <v>250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f>$P3/SUM(Table6[tgt])</f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</row>
    <row r="4" spans="1:28" x14ac:dyDescent="0.2">
      <c r="A4" s="2" t="s">
        <v>62</v>
      </c>
      <c r="B4" s="2" t="s">
        <v>27</v>
      </c>
      <c r="C4" s="2">
        <v>27</v>
      </c>
      <c r="D4" s="2">
        <v>4</v>
      </c>
      <c r="E4" s="2" t="s">
        <v>63</v>
      </c>
      <c r="F4" s="2" t="s">
        <v>26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10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f>$P4/SUM(Table6[tgt])</f>
        <v>9.0909090909090912E-2</v>
      </c>
      <c r="X4" s="2">
        <v>0</v>
      </c>
      <c r="Y4" s="2">
        <v>0</v>
      </c>
      <c r="Z4" s="2">
        <v>0</v>
      </c>
      <c r="AA4" s="2">
        <v>0</v>
      </c>
      <c r="AB4" s="2">
        <v>0</v>
      </c>
    </row>
    <row r="5" spans="1:28" x14ac:dyDescent="0.2">
      <c r="A5" s="2" t="s">
        <v>64</v>
      </c>
      <c r="B5" s="2" t="s">
        <v>27</v>
      </c>
      <c r="C5" s="2">
        <v>30</v>
      </c>
      <c r="D5" s="2">
        <v>8</v>
      </c>
      <c r="E5" s="2" t="s">
        <v>65</v>
      </c>
      <c r="F5" s="2" t="s">
        <v>26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f>$P5/SUM(Table6[tgt])</f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</row>
    <row r="6" spans="1:28" x14ac:dyDescent="0.2">
      <c r="A6" s="2" t="s">
        <v>68</v>
      </c>
      <c r="B6" s="2" t="s">
        <v>27</v>
      </c>
      <c r="C6" s="2">
        <v>25</v>
      </c>
      <c r="D6" s="2">
        <v>5</v>
      </c>
      <c r="E6" s="2" t="s">
        <v>69</v>
      </c>
      <c r="F6" s="2" t="s">
        <v>26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100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f>$P6/SUM(Table6[tgt])</f>
        <v>0.90909090909090906</v>
      </c>
      <c r="X6" s="2">
        <v>0</v>
      </c>
      <c r="Y6" s="2">
        <v>0</v>
      </c>
      <c r="Z6" s="2">
        <v>0</v>
      </c>
      <c r="AA6" s="2">
        <v>0</v>
      </c>
      <c r="AB6" s="2">
        <v>0</v>
      </c>
    </row>
    <row r="7" spans="1:28" x14ac:dyDescent="0.2">
      <c r="A7" s="2" t="s">
        <v>70</v>
      </c>
      <c r="B7" s="2" t="s">
        <v>27</v>
      </c>
      <c r="C7" s="2">
        <v>24</v>
      </c>
      <c r="D7" s="2">
        <v>0</v>
      </c>
      <c r="E7" s="2" t="s">
        <v>71</v>
      </c>
      <c r="F7" s="2" t="s">
        <v>26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f>$P7/SUM(Table6[tgt])</f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</row>
    <row r="8" spans="1:28" x14ac:dyDescent="0.2">
      <c r="A8" s="2" t="s">
        <v>72</v>
      </c>
      <c r="B8" s="2" t="s">
        <v>32</v>
      </c>
      <c r="C8" s="2">
        <v>28</v>
      </c>
      <c r="D8" s="2">
        <v>7</v>
      </c>
      <c r="E8" s="2" t="s">
        <v>73</v>
      </c>
      <c r="F8" s="2" t="s">
        <v>26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f>$P8/SUM(Table6[tgt])</f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</row>
    <row r="9" spans="1:28" x14ac:dyDescent="0.2">
      <c r="A9" s="2" t="s">
        <v>74</v>
      </c>
      <c r="B9" s="2" t="s">
        <v>32</v>
      </c>
      <c r="C9" s="2">
        <v>28</v>
      </c>
      <c r="D9" s="2">
        <v>7</v>
      </c>
      <c r="E9" s="2" t="s">
        <v>75</v>
      </c>
      <c r="F9" s="2" t="s">
        <v>26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f>$P9/SUM(Table6[tgt])</f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</row>
    <row r="10" spans="1:28" x14ac:dyDescent="0.2">
      <c r="A10" s="2" t="s">
        <v>76</v>
      </c>
      <c r="B10" s="2" t="s">
        <v>32</v>
      </c>
      <c r="C10" s="2">
        <v>24</v>
      </c>
      <c r="D10" s="2">
        <v>0</v>
      </c>
      <c r="E10" s="2" t="s">
        <v>77</v>
      </c>
      <c r="F10" s="2" t="s">
        <v>26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f>$P10/SUM(Table6[tgt])</f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</row>
    <row r="11" spans="1:28" x14ac:dyDescent="0.2">
      <c r="A11" s="2" t="s">
        <v>78</v>
      </c>
      <c r="B11" s="2" t="s">
        <v>32</v>
      </c>
      <c r="C11" s="2">
        <v>23</v>
      </c>
      <c r="D11" s="2">
        <v>2</v>
      </c>
      <c r="E11" s="2" t="s">
        <v>79</v>
      </c>
      <c r="F11" s="2" t="s">
        <v>26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f>$P11/SUM(Table6[tgt])</f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</row>
    <row r="12" spans="1:28" x14ac:dyDescent="0.2">
      <c r="A12" s="2" t="s">
        <v>80</v>
      </c>
      <c r="B12" s="2" t="s">
        <v>32</v>
      </c>
      <c r="C12" s="2">
        <v>26</v>
      </c>
      <c r="D12" s="2">
        <v>2</v>
      </c>
      <c r="E12" s="2" t="s">
        <v>81</v>
      </c>
      <c r="F12" s="2" t="s">
        <v>26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f>$P12/SUM(Table6[tgt])</f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</row>
    <row r="13" spans="1:28" x14ac:dyDescent="0.2">
      <c r="A13" s="2" t="s">
        <v>82</v>
      </c>
      <c r="B13" s="2" t="s">
        <v>44</v>
      </c>
      <c r="C13" s="2">
        <v>24</v>
      </c>
      <c r="D13" s="2">
        <v>0</v>
      </c>
      <c r="E13" s="2" t="s">
        <v>83</v>
      </c>
      <c r="F13" s="2" t="s">
        <v>26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f>$P13/SUM(Table6[tgt])</f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</row>
    <row r="14" spans="1:28" x14ac:dyDescent="0.2">
      <c r="A14" s="2" t="s">
        <v>84</v>
      </c>
      <c r="B14" s="2" t="s">
        <v>44</v>
      </c>
      <c r="C14" s="2">
        <v>26</v>
      </c>
      <c r="D14" s="2">
        <v>2</v>
      </c>
      <c r="E14" s="2" t="s">
        <v>85</v>
      </c>
      <c r="F14" s="2" t="s">
        <v>26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f>$P14/SUM(Table6[tgt])</f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</row>
    <row r="15" spans="1:28" x14ac:dyDescent="0.2">
      <c r="A15" s="2" t="s">
        <v>86</v>
      </c>
      <c r="B15" s="2" t="s">
        <v>44</v>
      </c>
      <c r="C15" s="2">
        <v>26</v>
      </c>
      <c r="D15" s="2">
        <v>5</v>
      </c>
      <c r="E15" s="2" t="s">
        <v>69</v>
      </c>
      <c r="F15" s="2" t="s">
        <v>26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f>$P15/SUM(Table6[tgt])</f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</row>
    <row r="16" spans="1:28" x14ac:dyDescent="0.2">
      <c r="A16" s="2" t="s">
        <v>87</v>
      </c>
      <c r="B16" s="2" t="s">
        <v>44</v>
      </c>
      <c r="C16" s="2">
        <v>23</v>
      </c>
      <c r="D16" s="2">
        <v>0</v>
      </c>
      <c r="E16" s="2" t="s">
        <v>88</v>
      </c>
      <c r="F16" s="2" t="s">
        <v>26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f>$P16/SUM(Table6[tgt])</f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</row>
    <row r="17" spans="1:28" x14ac:dyDescent="0.2">
      <c r="A17" s="2" t="s">
        <v>89</v>
      </c>
      <c r="B17" s="2" t="s">
        <v>44</v>
      </c>
      <c r="C17" s="2">
        <v>25</v>
      </c>
      <c r="D17" s="2">
        <v>3</v>
      </c>
      <c r="E17" s="2" t="s">
        <v>90</v>
      </c>
      <c r="F17" s="2" t="s">
        <v>26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f>$P17/SUM(Table6[tgt])</f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</row>
    <row r="18" spans="1:28" x14ac:dyDescent="0.2">
      <c r="A18" s="2" t="s">
        <v>91</v>
      </c>
      <c r="B18" s="2" t="s">
        <v>44</v>
      </c>
      <c r="C18" s="2">
        <v>23</v>
      </c>
      <c r="D18" s="2">
        <v>3</v>
      </c>
      <c r="E18" s="2" t="s">
        <v>63</v>
      </c>
      <c r="F18" s="2" t="s">
        <v>26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f>$P18/SUM(Table6[tgt])</f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</row>
    <row r="19" spans="1:28" x14ac:dyDescent="0.2">
      <c r="A19" s="2" t="s">
        <v>92</v>
      </c>
      <c r="B19" s="2" t="s">
        <v>44</v>
      </c>
      <c r="C19" s="2">
        <v>28</v>
      </c>
      <c r="D19" s="2">
        <v>6</v>
      </c>
      <c r="E19" s="2" t="s">
        <v>93</v>
      </c>
      <c r="F19" s="2" t="s">
        <v>26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f>$P19/SUM(Table6[tgt])</f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</row>
    <row r="20" spans="1:28" x14ac:dyDescent="0.2">
      <c r="A20" s="2" t="s">
        <v>94</v>
      </c>
      <c r="B20" s="2" t="s">
        <v>44</v>
      </c>
      <c r="C20" s="2">
        <v>24</v>
      </c>
      <c r="D20" s="2">
        <v>1</v>
      </c>
      <c r="E20" s="2" t="s">
        <v>95</v>
      </c>
      <c r="F20" s="2" t="s">
        <v>26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f>$P20/SUM(Table6[tgt])</f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</row>
    <row r="21" spans="1:28" x14ac:dyDescent="0.2">
      <c r="A21" s="2" t="s">
        <v>96</v>
      </c>
      <c r="B21" s="2" t="s">
        <v>44</v>
      </c>
      <c r="C21" s="2">
        <v>23</v>
      </c>
      <c r="D21" s="2">
        <v>0</v>
      </c>
      <c r="E21" s="2" t="s">
        <v>97</v>
      </c>
      <c r="F21" s="2" t="s">
        <v>26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f>$P21/SUM(Table6[tgt])</f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</row>
    <row r="22" spans="1:28" x14ac:dyDescent="0.2">
      <c r="A22" s="2" t="s">
        <v>98</v>
      </c>
      <c r="B22" s="2" t="s">
        <v>39</v>
      </c>
      <c r="C22" s="2">
        <v>32</v>
      </c>
      <c r="D22" s="2">
        <v>11</v>
      </c>
      <c r="E22" s="2" t="s">
        <v>97</v>
      </c>
      <c r="F22" s="2" t="s">
        <v>26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f>$P22/SUM(Table6[tgt])</f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</row>
    <row r="23" spans="1:28" x14ac:dyDescent="0.2">
      <c r="A23" s="2" t="s">
        <v>99</v>
      </c>
      <c r="B23" s="2" t="s">
        <v>39</v>
      </c>
      <c r="C23" s="2">
        <v>25</v>
      </c>
      <c r="D23" s="2">
        <v>0</v>
      </c>
      <c r="E23" s="2" t="s">
        <v>100</v>
      </c>
      <c r="F23" s="2" t="s">
        <v>26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f>$P23/SUM(Table6[tgt])</f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</row>
    <row r="24" spans="1:28" x14ac:dyDescent="0.2">
      <c r="A24" s="2" t="s">
        <v>101</v>
      </c>
      <c r="B24" s="2" t="s">
        <v>39</v>
      </c>
      <c r="C24" s="2">
        <v>23</v>
      </c>
      <c r="D24" s="2">
        <v>2</v>
      </c>
      <c r="E24" s="2" t="s">
        <v>102</v>
      </c>
      <c r="F24" s="2" t="s">
        <v>26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f>$P24/SUM(Table6[tgt])</f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</row>
    <row r="25" spans="1:28" x14ac:dyDescent="0.2">
      <c r="A25" s="2" t="s">
        <v>103</v>
      </c>
      <c r="B25" s="2" t="s">
        <v>39</v>
      </c>
      <c r="C25" s="2">
        <v>24</v>
      </c>
      <c r="D25" s="2">
        <v>1</v>
      </c>
      <c r="E25" s="2" t="s">
        <v>104</v>
      </c>
      <c r="F25" s="2" t="s">
        <v>26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f>$P25/SUM(Table6[tgt])</f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</row>
    <row r="26" spans="1:28" x14ac:dyDescent="0.2">
      <c r="A26" s="2" t="s">
        <v>105</v>
      </c>
      <c r="B26" s="2" t="s">
        <v>39</v>
      </c>
      <c r="C26" s="2">
        <v>25</v>
      </c>
      <c r="D26" s="2">
        <v>1</v>
      </c>
      <c r="E26" s="2" t="s">
        <v>106</v>
      </c>
      <c r="F26" s="2" t="s">
        <v>26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f>$P26/SUM(Table6[tgt])</f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</row>
    <row r="27" spans="1:28" x14ac:dyDescent="0.2">
      <c r="A27" s="2" t="s">
        <v>107</v>
      </c>
      <c r="B27" s="2" t="s">
        <v>39</v>
      </c>
      <c r="C27" s="2">
        <v>26</v>
      </c>
      <c r="D27" s="2">
        <v>2</v>
      </c>
      <c r="E27" s="2" t="s">
        <v>108</v>
      </c>
      <c r="F27" s="2" t="s">
        <v>26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f>$P27/SUM(Table6[tgt])</f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</row>
    <row r="28" spans="1:28" x14ac:dyDescent="0.2">
      <c r="A28" s="2" t="s">
        <v>131</v>
      </c>
      <c r="B28" s="2" t="s">
        <v>27</v>
      </c>
      <c r="C28" s="2">
        <v>30</v>
      </c>
      <c r="D28" s="2">
        <v>6</v>
      </c>
      <c r="E28" s="2" t="s">
        <v>93</v>
      </c>
      <c r="F28" s="2" t="s">
        <v>111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f>$P28/SUM(Table6[tgt])</f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</row>
    <row r="29" spans="1:28" x14ac:dyDescent="0.2">
      <c r="A29" s="2" t="s">
        <v>132</v>
      </c>
      <c r="B29" s="2" t="s">
        <v>27</v>
      </c>
      <c r="C29" s="2">
        <v>23</v>
      </c>
      <c r="D29" s="2">
        <v>2</v>
      </c>
      <c r="E29" s="2" t="s">
        <v>133</v>
      </c>
      <c r="F29" s="2" t="s">
        <v>111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f>$P29/SUM(Table6[tgt])</f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</row>
    <row r="30" spans="1:28" x14ac:dyDescent="0.2">
      <c r="A30" s="2" t="s">
        <v>134</v>
      </c>
      <c r="B30" s="2" t="s">
        <v>27</v>
      </c>
      <c r="C30" s="2">
        <v>28</v>
      </c>
      <c r="D30" s="2">
        <v>4</v>
      </c>
      <c r="E30" s="2" t="s">
        <v>135</v>
      </c>
      <c r="F30" s="2" t="s">
        <v>111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f>$P30/SUM(Table6[tgt])</f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</row>
    <row r="31" spans="1:28" x14ac:dyDescent="0.2">
      <c r="A31" s="2" t="s">
        <v>136</v>
      </c>
      <c r="B31" s="2" t="s">
        <v>32</v>
      </c>
      <c r="C31" s="2">
        <v>23</v>
      </c>
      <c r="D31" s="2">
        <v>2</v>
      </c>
      <c r="E31" s="2" t="s">
        <v>81</v>
      </c>
      <c r="F31" s="2" t="s">
        <v>111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f>$P31/SUM(Table6[tgt])</f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</row>
    <row r="32" spans="1:28" x14ac:dyDescent="0.2">
      <c r="A32" s="2" t="s">
        <v>137</v>
      </c>
      <c r="B32" s="2" t="s">
        <v>32</v>
      </c>
      <c r="C32" s="2">
        <v>24</v>
      </c>
      <c r="D32" s="2">
        <v>0</v>
      </c>
      <c r="E32" s="2" t="s">
        <v>108</v>
      </c>
      <c r="F32" s="2" t="s">
        <v>111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f>$P32/SUM(Table6[tgt])</f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</row>
    <row r="33" spans="1:28" x14ac:dyDescent="0.2">
      <c r="A33" s="2" t="s">
        <v>138</v>
      </c>
      <c r="B33" s="2" t="s">
        <v>32</v>
      </c>
      <c r="C33" s="2">
        <v>24</v>
      </c>
      <c r="D33" s="2">
        <v>2</v>
      </c>
      <c r="E33" s="2" t="s">
        <v>139</v>
      </c>
      <c r="F33" s="2" t="s">
        <v>111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f>$P33/SUM(Table6[tgt])</f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</row>
    <row r="34" spans="1:28" x14ac:dyDescent="0.2">
      <c r="A34" s="2" t="s">
        <v>140</v>
      </c>
      <c r="B34" s="2" t="s">
        <v>32</v>
      </c>
      <c r="C34" s="2">
        <v>32</v>
      </c>
      <c r="D34" s="2">
        <v>11</v>
      </c>
      <c r="E34" s="2" t="s">
        <v>141</v>
      </c>
      <c r="F34" s="2" t="s">
        <v>111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f>$P34/SUM(Table6[tgt])</f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</row>
    <row r="35" spans="1:28" x14ac:dyDescent="0.2">
      <c r="A35" s="2" t="s">
        <v>142</v>
      </c>
      <c r="B35" s="2" t="s">
        <v>32</v>
      </c>
      <c r="C35" s="2">
        <v>25</v>
      </c>
      <c r="D35" s="2">
        <v>1</v>
      </c>
      <c r="E35" s="2" t="s">
        <v>143</v>
      </c>
      <c r="F35" s="2" t="s">
        <v>111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f>$P35/SUM(Table6[tgt])</f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</row>
    <row r="36" spans="1:28" x14ac:dyDescent="0.2">
      <c r="A36" s="2" t="s">
        <v>144</v>
      </c>
      <c r="B36" s="2" t="s">
        <v>32</v>
      </c>
      <c r="C36" s="2">
        <v>21</v>
      </c>
      <c r="D36" s="2">
        <v>0</v>
      </c>
      <c r="E36" s="2" t="s">
        <v>67</v>
      </c>
      <c r="F36" s="2" t="s">
        <v>111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f>$P36/SUM(Table6[tgt])</f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</row>
    <row r="37" spans="1:28" x14ac:dyDescent="0.2">
      <c r="A37" s="2" t="s">
        <v>145</v>
      </c>
      <c r="B37" s="2" t="s">
        <v>32</v>
      </c>
      <c r="C37" s="2">
        <v>24</v>
      </c>
      <c r="D37" s="2">
        <v>0</v>
      </c>
      <c r="E37" s="2" t="s">
        <v>146</v>
      </c>
      <c r="F37" s="2" t="s">
        <v>111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f>$P37/SUM(Table6[tgt])</f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</row>
    <row r="38" spans="1:28" x14ac:dyDescent="0.2">
      <c r="A38" s="2" t="s">
        <v>147</v>
      </c>
      <c r="B38" s="2" t="s">
        <v>44</v>
      </c>
      <c r="C38" s="2">
        <v>24</v>
      </c>
      <c r="D38" s="2">
        <v>1</v>
      </c>
      <c r="E38" s="2" t="s">
        <v>148</v>
      </c>
      <c r="F38" s="2" t="s">
        <v>111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f>$P38/SUM(Table6[tgt])</f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</row>
    <row r="39" spans="1:28" x14ac:dyDescent="0.2">
      <c r="A39" s="2" t="s">
        <v>149</v>
      </c>
      <c r="B39" s="2" t="s">
        <v>44</v>
      </c>
      <c r="C39" s="2">
        <v>26</v>
      </c>
      <c r="D39" s="2">
        <v>4</v>
      </c>
      <c r="E39" s="2" t="s">
        <v>97</v>
      </c>
      <c r="F39" s="2" t="s">
        <v>111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f>$P39/SUM(Table6[tgt])</f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</row>
    <row r="40" spans="1:28" x14ac:dyDescent="0.2">
      <c r="A40" s="2" t="s">
        <v>150</v>
      </c>
      <c r="B40" s="2" t="s">
        <v>44</v>
      </c>
      <c r="C40" s="2">
        <v>25</v>
      </c>
      <c r="D40" s="2">
        <v>0</v>
      </c>
      <c r="E40" s="2" t="s">
        <v>151</v>
      </c>
      <c r="F40" s="2" t="s">
        <v>111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f>$P40/SUM(Table6[tgt])</f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</row>
    <row r="41" spans="1:28" x14ac:dyDescent="0.2">
      <c r="A41" s="2" t="s">
        <v>152</v>
      </c>
      <c r="B41" s="2" t="s">
        <v>44</v>
      </c>
      <c r="C41" s="2">
        <v>24</v>
      </c>
      <c r="D41" s="2">
        <v>2</v>
      </c>
      <c r="E41" s="2" t="s">
        <v>153</v>
      </c>
      <c r="F41" s="2" t="s">
        <v>111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f>$P41/SUM(Table6[tgt])</f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</row>
    <row r="42" spans="1:28" x14ac:dyDescent="0.2">
      <c r="A42" s="2" t="s">
        <v>154</v>
      </c>
      <c r="B42" s="2" t="s">
        <v>44</v>
      </c>
      <c r="C42" s="2">
        <v>25</v>
      </c>
      <c r="D42" s="2">
        <v>3</v>
      </c>
      <c r="E42" s="2" t="s">
        <v>155</v>
      </c>
      <c r="F42" s="2" t="s">
        <v>111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f>$P42/SUM(Table6[tgt])</f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</row>
    <row r="43" spans="1:28" x14ac:dyDescent="0.2">
      <c r="A43" s="2" t="s">
        <v>156</v>
      </c>
      <c r="B43" s="2" t="s">
        <v>44</v>
      </c>
      <c r="C43" s="2">
        <v>22</v>
      </c>
      <c r="D43" s="2">
        <v>0</v>
      </c>
      <c r="E43" s="2" t="s">
        <v>157</v>
      </c>
      <c r="F43" s="2" t="s">
        <v>111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f>$P43/SUM(Table6[tgt])</f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</row>
    <row r="44" spans="1:28" x14ac:dyDescent="0.2">
      <c r="A44" s="2" t="s">
        <v>158</v>
      </c>
      <c r="B44" s="2" t="s">
        <v>44</v>
      </c>
      <c r="C44" s="2">
        <v>27</v>
      </c>
      <c r="D44" s="2">
        <v>4</v>
      </c>
      <c r="E44" s="2" t="s">
        <v>159</v>
      </c>
      <c r="F44" s="2" t="s">
        <v>111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f>$P44/SUM(Table6[tgt])</f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</row>
    <row r="45" spans="1:28" x14ac:dyDescent="0.2">
      <c r="A45" s="2" t="s">
        <v>160</v>
      </c>
      <c r="B45" s="2" t="s">
        <v>44</v>
      </c>
      <c r="C45" s="2">
        <v>28</v>
      </c>
      <c r="D45" s="2">
        <v>6</v>
      </c>
      <c r="E45" s="2" t="s">
        <v>161</v>
      </c>
      <c r="F45" s="2" t="s">
        <v>111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f>$P45/SUM(Table6[tgt])</f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</row>
    <row r="46" spans="1:28" x14ac:dyDescent="0.2">
      <c r="A46" s="2" t="s">
        <v>162</v>
      </c>
      <c r="B46" s="2" t="s">
        <v>44</v>
      </c>
      <c r="C46" s="2">
        <v>29</v>
      </c>
      <c r="D46" s="2">
        <v>7</v>
      </c>
      <c r="E46" s="2" t="s">
        <v>163</v>
      </c>
      <c r="F46" s="2" t="s">
        <v>111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f>$P46/SUM(Table6[tgt])</f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</row>
    <row r="47" spans="1:28" x14ac:dyDescent="0.2">
      <c r="A47" s="2" t="s">
        <v>164</v>
      </c>
      <c r="B47" s="2" t="s">
        <v>44</v>
      </c>
      <c r="C47" s="2">
        <v>21</v>
      </c>
      <c r="D47" s="2">
        <v>2</v>
      </c>
      <c r="E47" s="2" t="s">
        <v>79</v>
      </c>
      <c r="F47" s="2" t="s">
        <v>111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f>$P47/SUM(Table6[tgt])</f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</row>
    <row r="48" spans="1:28" x14ac:dyDescent="0.2">
      <c r="A48" s="2" t="s">
        <v>165</v>
      </c>
      <c r="B48" s="2" t="s">
        <v>44</v>
      </c>
      <c r="C48" s="2">
        <v>23</v>
      </c>
      <c r="D48" s="2">
        <v>0</v>
      </c>
      <c r="E48" s="2" t="s">
        <v>166</v>
      </c>
      <c r="F48" s="2" t="s">
        <v>111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f>$P48/SUM(Table6[tgt])</f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</row>
    <row r="49" spans="1:28" x14ac:dyDescent="0.2">
      <c r="A49" s="2" t="s">
        <v>167</v>
      </c>
      <c r="B49" s="2" t="s">
        <v>44</v>
      </c>
      <c r="C49" s="2">
        <v>25</v>
      </c>
      <c r="D49" s="2">
        <v>5</v>
      </c>
      <c r="E49" s="2" t="s">
        <v>168</v>
      </c>
      <c r="F49" s="2" t="s">
        <v>111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f>$P49/SUM(Table6[tgt])</f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</row>
    <row r="50" spans="1:28" x14ac:dyDescent="0.2">
      <c r="A50" s="2" t="s">
        <v>169</v>
      </c>
      <c r="B50" s="2" t="s">
        <v>39</v>
      </c>
      <c r="C50" s="2">
        <v>24</v>
      </c>
      <c r="D50" s="2">
        <v>1</v>
      </c>
      <c r="E50" s="2" t="s">
        <v>97</v>
      </c>
      <c r="F50" s="2" t="s">
        <v>111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f>$P50/SUM(Table6[tgt])</f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</row>
    <row r="51" spans="1:28" x14ac:dyDescent="0.2">
      <c r="A51" s="2" t="s">
        <v>170</v>
      </c>
      <c r="B51" s="2" t="s">
        <v>39</v>
      </c>
      <c r="C51" s="2">
        <v>23</v>
      </c>
      <c r="D51" s="2">
        <v>2</v>
      </c>
      <c r="E51" s="2" t="s">
        <v>171</v>
      </c>
      <c r="F51" s="2" t="s">
        <v>111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f>$P51/SUM(Table6[tgt])</f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</row>
    <row r="52" spans="1:28" x14ac:dyDescent="0.2">
      <c r="A52" s="2" t="s">
        <v>172</v>
      </c>
      <c r="B52" s="2" t="s">
        <v>39</v>
      </c>
      <c r="C52" s="2">
        <v>25</v>
      </c>
      <c r="D52" s="2">
        <v>3</v>
      </c>
      <c r="E52" s="2" t="s">
        <v>173</v>
      </c>
      <c r="F52" s="2" t="s">
        <v>111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f>$P52/SUM(Table6[tgt])</f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</row>
    <row r="53" spans="1:28" x14ac:dyDescent="0.2">
      <c r="A53" s="2" t="s">
        <v>174</v>
      </c>
      <c r="B53" s="2" t="s">
        <v>39</v>
      </c>
      <c r="C53" s="2">
        <v>28</v>
      </c>
      <c r="D53" s="2">
        <v>3</v>
      </c>
      <c r="E53" s="2" t="s">
        <v>95</v>
      </c>
      <c r="F53" s="2" t="s">
        <v>111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f>$P53/SUM(Table6[tgt])</f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</row>
    <row r="54" spans="1:28" x14ac:dyDescent="0.2">
      <c r="A54" s="2" t="s">
        <v>175</v>
      </c>
      <c r="B54" s="2" t="s">
        <v>39</v>
      </c>
      <c r="C54" s="2">
        <v>22</v>
      </c>
      <c r="D54" s="2">
        <v>3</v>
      </c>
      <c r="E54" s="2" t="s">
        <v>176</v>
      </c>
      <c r="F54" s="2" t="s">
        <v>111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f>$P54/SUM(Table6[tgt])</f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</row>
    <row r="55" spans="1:28" x14ac:dyDescent="0.2">
      <c r="A55" s="2" t="s">
        <v>200</v>
      </c>
      <c r="B55" s="2" t="s">
        <v>27</v>
      </c>
      <c r="C55" s="2">
        <v>24</v>
      </c>
      <c r="D55" s="2">
        <v>1</v>
      </c>
      <c r="E55" s="2" t="s">
        <v>201</v>
      </c>
      <c r="F55" s="2" t="s">
        <v>180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</row>
    <row r="56" spans="1:28" x14ac:dyDescent="0.2">
      <c r="A56" s="2" t="s">
        <v>202</v>
      </c>
      <c r="B56" s="2" t="s">
        <v>27</v>
      </c>
      <c r="C56" s="2">
        <v>25</v>
      </c>
      <c r="D56" s="2">
        <v>4</v>
      </c>
      <c r="E56" s="2" t="s">
        <v>203</v>
      </c>
      <c r="F56" s="2" t="s">
        <v>180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</row>
    <row r="57" spans="1:28" x14ac:dyDescent="0.2">
      <c r="A57" s="2" t="s">
        <v>204</v>
      </c>
      <c r="B57" s="2" t="s">
        <v>27</v>
      </c>
      <c r="C57" s="2">
        <v>26</v>
      </c>
      <c r="D57" s="2">
        <v>6</v>
      </c>
      <c r="E57" s="2" t="s">
        <v>205</v>
      </c>
      <c r="F57" s="2" t="s">
        <v>180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</row>
    <row r="58" spans="1:28" x14ac:dyDescent="0.2">
      <c r="A58" s="2" t="s">
        <v>206</v>
      </c>
      <c r="B58" s="2" t="s">
        <v>27</v>
      </c>
      <c r="C58" s="2">
        <v>37</v>
      </c>
      <c r="D58" s="2">
        <v>8</v>
      </c>
      <c r="E58" s="2" t="s">
        <v>207</v>
      </c>
      <c r="F58" s="2" t="s">
        <v>180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</row>
    <row r="59" spans="1:28" x14ac:dyDescent="0.2">
      <c r="A59" s="2" t="s">
        <v>208</v>
      </c>
      <c r="B59" s="2" t="s">
        <v>32</v>
      </c>
      <c r="C59" s="2">
        <v>24</v>
      </c>
      <c r="D59" s="2">
        <v>4</v>
      </c>
      <c r="E59" s="2" t="s">
        <v>209</v>
      </c>
      <c r="F59" s="2" t="s">
        <v>180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</row>
    <row r="60" spans="1:28" x14ac:dyDescent="0.2">
      <c r="A60" s="2" t="s">
        <v>210</v>
      </c>
      <c r="B60" s="2" t="s">
        <v>32</v>
      </c>
      <c r="C60" s="2">
        <v>28</v>
      </c>
      <c r="D60" s="2">
        <v>6</v>
      </c>
      <c r="E60" s="2" t="s">
        <v>211</v>
      </c>
      <c r="F60" s="2" t="s">
        <v>180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</row>
    <row r="61" spans="1:28" x14ac:dyDescent="0.2">
      <c r="A61" s="2" t="s">
        <v>212</v>
      </c>
      <c r="B61" s="2" t="s">
        <v>32</v>
      </c>
      <c r="C61" s="2">
        <v>25</v>
      </c>
      <c r="D61" s="2">
        <v>5</v>
      </c>
      <c r="E61" s="2" t="s">
        <v>213</v>
      </c>
      <c r="F61" s="2" t="s">
        <v>180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</row>
    <row r="62" spans="1:28" x14ac:dyDescent="0.2">
      <c r="A62" s="2" t="s">
        <v>214</v>
      </c>
      <c r="B62" s="2" t="s">
        <v>32</v>
      </c>
      <c r="C62" s="2">
        <v>21</v>
      </c>
      <c r="D62" s="2">
        <v>0</v>
      </c>
      <c r="E62" s="2" t="s">
        <v>215</v>
      </c>
      <c r="F62" s="2" t="s">
        <v>180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</row>
    <row r="63" spans="1:28" x14ac:dyDescent="0.2">
      <c r="A63" s="2" t="s">
        <v>216</v>
      </c>
      <c r="B63" s="2" t="s">
        <v>32</v>
      </c>
      <c r="C63" s="2">
        <v>24</v>
      </c>
      <c r="D63" s="2">
        <v>0</v>
      </c>
      <c r="E63" s="2" t="s">
        <v>217</v>
      </c>
      <c r="F63" s="2" t="s">
        <v>180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</row>
    <row r="64" spans="1:28" x14ac:dyDescent="0.2">
      <c r="A64" s="2" t="s">
        <v>218</v>
      </c>
      <c r="B64" s="2" t="s">
        <v>44</v>
      </c>
      <c r="C64" s="2">
        <v>30</v>
      </c>
      <c r="D64" s="2">
        <v>9</v>
      </c>
      <c r="E64" s="2" t="s">
        <v>79</v>
      </c>
      <c r="F64" s="2" t="s">
        <v>180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</row>
    <row r="65" spans="1:28" x14ac:dyDescent="0.2">
      <c r="A65" s="2" t="s">
        <v>219</v>
      </c>
      <c r="B65" s="2" t="s">
        <v>44</v>
      </c>
      <c r="C65" s="2">
        <v>23</v>
      </c>
      <c r="D65" s="2">
        <v>3</v>
      </c>
      <c r="E65" s="2" t="s">
        <v>220</v>
      </c>
      <c r="F65" s="2" t="s">
        <v>180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</row>
    <row r="66" spans="1:28" x14ac:dyDescent="0.2">
      <c r="A66" s="2" t="s">
        <v>221</v>
      </c>
      <c r="B66" s="2" t="s">
        <v>44</v>
      </c>
      <c r="C66" s="2">
        <v>30</v>
      </c>
      <c r="D66" s="2">
        <v>9</v>
      </c>
      <c r="E66" s="2" t="s">
        <v>222</v>
      </c>
      <c r="F66" s="2" t="s">
        <v>180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</row>
    <row r="67" spans="1:28" x14ac:dyDescent="0.2">
      <c r="A67" s="2" t="s">
        <v>223</v>
      </c>
      <c r="B67" s="2" t="s">
        <v>44</v>
      </c>
      <c r="C67" s="2">
        <v>25</v>
      </c>
      <c r="D67" s="2">
        <v>1</v>
      </c>
      <c r="E67" s="2" t="s">
        <v>67</v>
      </c>
      <c r="F67" s="2" t="s">
        <v>180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</row>
    <row r="68" spans="1:28" x14ac:dyDescent="0.2">
      <c r="A68" s="2" t="s">
        <v>224</v>
      </c>
      <c r="B68" s="2" t="s">
        <v>44</v>
      </c>
      <c r="C68" s="2">
        <v>25</v>
      </c>
      <c r="D68" s="2">
        <v>1</v>
      </c>
      <c r="E68" s="2" t="s">
        <v>225</v>
      </c>
      <c r="F68" s="2" t="s">
        <v>180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</row>
    <row r="69" spans="1:28" x14ac:dyDescent="0.2">
      <c r="A69" s="2" t="s">
        <v>226</v>
      </c>
      <c r="B69" s="2" t="s">
        <v>44</v>
      </c>
      <c r="C69" s="2">
        <v>22</v>
      </c>
      <c r="D69" s="2">
        <v>0</v>
      </c>
      <c r="E69" s="2" t="s">
        <v>227</v>
      </c>
      <c r="F69" s="2" t="s">
        <v>180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</row>
    <row r="70" spans="1:28" x14ac:dyDescent="0.2">
      <c r="A70" s="2" t="s">
        <v>228</v>
      </c>
      <c r="B70" s="2" t="s">
        <v>44</v>
      </c>
      <c r="C70" s="2">
        <v>25</v>
      </c>
      <c r="D70" s="2">
        <v>4</v>
      </c>
      <c r="E70" s="2" t="s">
        <v>67</v>
      </c>
      <c r="F70" s="2" t="s">
        <v>180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</row>
    <row r="71" spans="1:28" x14ac:dyDescent="0.2">
      <c r="A71" s="2" t="s">
        <v>229</v>
      </c>
      <c r="B71" s="2" t="s">
        <v>44</v>
      </c>
      <c r="C71" s="2">
        <v>22</v>
      </c>
      <c r="D71" s="2">
        <v>0</v>
      </c>
      <c r="E71" s="2" t="s">
        <v>230</v>
      </c>
      <c r="F71" s="2" t="s">
        <v>180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</row>
    <row r="72" spans="1:28" x14ac:dyDescent="0.2">
      <c r="A72" s="2" t="s">
        <v>231</v>
      </c>
      <c r="B72" s="2" t="s">
        <v>44</v>
      </c>
      <c r="C72" s="2">
        <v>26</v>
      </c>
      <c r="D72" s="2">
        <v>5</v>
      </c>
      <c r="E72" s="2" t="s">
        <v>232</v>
      </c>
      <c r="F72" s="2" t="s">
        <v>180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</row>
    <row r="73" spans="1:28" x14ac:dyDescent="0.2">
      <c r="A73" s="2" t="s">
        <v>233</v>
      </c>
      <c r="B73" s="2" t="s">
        <v>44</v>
      </c>
      <c r="C73" s="2">
        <v>26</v>
      </c>
      <c r="D73" s="2">
        <v>4</v>
      </c>
      <c r="E73" s="2" t="s">
        <v>234</v>
      </c>
      <c r="F73" s="2" t="s">
        <v>180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</row>
    <row r="74" spans="1:28" x14ac:dyDescent="0.2">
      <c r="A74" s="2" t="s">
        <v>235</v>
      </c>
      <c r="B74" s="2" t="s">
        <v>44</v>
      </c>
      <c r="C74" s="2">
        <v>24</v>
      </c>
      <c r="D74" s="2">
        <v>0</v>
      </c>
      <c r="E74" s="2" t="s">
        <v>211</v>
      </c>
      <c r="F74" s="2" t="s">
        <v>180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</row>
    <row r="75" spans="1:28" x14ac:dyDescent="0.2">
      <c r="A75" s="2" t="s">
        <v>236</v>
      </c>
      <c r="B75" s="2" t="s">
        <v>44</v>
      </c>
      <c r="C75" s="2">
        <v>28</v>
      </c>
      <c r="D75" s="2">
        <v>8</v>
      </c>
      <c r="E75" s="2" t="s">
        <v>237</v>
      </c>
      <c r="F75" s="2" t="s">
        <v>180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</row>
    <row r="76" spans="1:28" x14ac:dyDescent="0.2">
      <c r="A76" s="2" t="s">
        <v>238</v>
      </c>
      <c r="B76" s="2" t="s">
        <v>44</v>
      </c>
      <c r="C76" s="2">
        <v>28</v>
      </c>
      <c r="D76" s="2">
        <v>5</v>
      </c>
      <c r="E76" s="2" t="s">
        <v>239</v>
      </c>
      <c r="F76" s="2" t="s">
        <v>180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</row>
    <row r="77" spans="1:28" x14ac:dyDescent="0.2">
      <c r="A77" s="2" t="s">
        <v>240</v>
      </c>
      <c r="B77" s="2" t="s">
        <v>44</v>
      </c>
      <c r="C77" s="2">
        <v>24</v>
      </c>
      <c r="D77" s="2">
        <v>3</v>
      </c>
      <c r="E77" s="2" t="s">
        <v>213</v>
      </c>
      <c r="F77" s="2" t="s">
        <v>180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</row>
    <row r="78" spans="1:28" x14ac:dyDescent="0.2">
      <c r="A78" s="2" t="s">
        <v>241</v>
      </c>
      <c r="B78" s="2" t="s">
        <v>39</v>
      </c>
      <c r="C78" s="2">
        <v>27</v>
      </c>
      <c r="D78" s="2">
        <v>6</v>
      </c>
      <c r="E78" s="2" t="s">
        <v>69</v>
      </c>
      <c r="F78" s="2" t="s">
        <v>180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</row>
    <row r="79" spans="1:28" x14ac:dyDescent="0.2">
      <c r="A79" s="2" t="s">
        <v>242</v>
      </c>
      <c r="B79" s="2" t="s">
        <v>39</v>
      </c>
      <c r="C79" s="2">
        <v>24</v>
      </c>
      <c r="D79" s="2">
        <v>2</v>
      </c>
      <c r="E79" s="2" t="s">
        <v>243</v>
      </c>
      <c r="F79" s="2" t="s">
        <v>180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</row>
    <row r="80" spans="1:28" x14ac:dyDescent="0.2">
      <c r="A80" s="2" t="s">
        <v>244</v>
      </c>
      <c r="B80" s="2" t="s">
        <v>39</v>
      </c>
      <c r="C80" s="2">
        <v>23</v>
      </c>
      <c r="D80" s="2">
        <v>2</v>
      </c>
      <c r="E80" s="2" t="s">
        <v>245</v>
      </c>
      <c r="F80" s="2" t="s">
        <v>180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</row>
    <row r="81" spans="1:28" x14ac:dyDescent="0.2">
      <c r="A81" s="2" t="s">
        <v>270</v>
      </c>
      <c r="B81" s="2" t="s">
        <v>27</v>
      </c>
      <c r="C81" s="2">
        <v>27</v>
      </c>
      <c r="D81" s="2">
        <v>6</v>
      </c>
      <c r="E81" s="2" t="s">
        <v>271</v>
      </c>
      <c r="F81" s="2" t="s">
        <v>249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</row>
    <row r="82" spans="1:28" x14ac:dyDescent="0.2">
      <c r="A82" s="2" t="s">
        <v>272</v>
      </c>
      <c r="B82" s="2" t="s">
        <v>27</v>
      </c>
      <c r="C82" s="2">
        <v>27</v>
      </c>
      <c r="D82" s="2">
        <v>5</v>
      </c>
      <c r="E82" s="2" t="s">
        <v>71</v>
      </c>
      <c r="F82" s="2" t="s">
        <v>249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</row>
    <row r="83" spans="1:28" x14ac:dyDescent="0.2">
      <c r="A83" s="2" t="s">
        <v>273</v>
      </c>
      <c r="B83" s="2" t="s">
        <v>27</v>
      </c>
      <c r="C83" s="2">
        <v>32</v>
      </c>
      <c r="D83" s="2">
        <v>10</v>
      </c>
      <c r="E83" s="2" t="s">
        <v>79</v>
      </c>
      <c r="F83" s="2" t="s">
        <v>249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</row>
    <row r="84" spans="1:28" x14ac:dyDescent="0.2">
      <c r="A84" s="2" t="s">
        <v>274</v>
      </c>
      <c r="B84" s="2" t="s">
        <v>32</v>
      </c>
      <c r="C84" s="2">
        <v>23</v>
      </c>
      <c r="D84" s="2">
        <v>2</v>
      </c>
      <c r="E84" s="2" t="s">
        <v>171</v>
      </c>
      <c r="F84" s="2" t="s">
        <v>249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</row>
    <row r="85" spans="1:28" x14ac:dyDescent="0.2">
      <c r="A85" s="2" t="s">
        <v>275</v>
      </c>
      <c r="B85" s="2" t="s">
        <v>32</v>
      </c>
      <c r="C85" s="2">
        <v>26</v>
      </c>
      <c r="D85" s="2">
        <v>5</v>
      </c>
      <c r="E85" s="2" t="s">
        <v>153</v>
      </c>
      <c r="F85" s="2" t="s">
        <v>249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</row>
    <row r="86" spans="1:28" x14ac:dyDescent="0.2">
      <c r="A86" s="2" t="s">
        <v>276</v>
      </c>
      <c r="B86" s="2" t="s">
        <v>32</v>
      </c>
      <c r="C86" s="2">
        <v>26</v>
      </c>
      <c r="D86" s="2">
        <v>6</v>
      </c>
      <c r="E86" s="2" t="s">
        <v>277</v>
      </c>
      <c r="F86" s="2" t="s">
        <v>249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</row>
    <row r="87" spans="1:28" x14ac:dyDescent="0.2">
      <c r="A87" s="2" t="s">
        <v>278</v>
      </c>
      <c r="B87" s="2" t="s">
        <v>32</v>
      </c>
      <c r="C87" s="2">
        <v>24</v>
      </c>
      <c r="D87" s="2">
        <v>0</v>
      </c>
      <c r="E87" s="2" t="s">
        <v>279</v>
      </c>
      <c r="F87" s="2" t="s">
        <v>249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</row>
    <row r="88" spans="1:28" x14ac:dyDescent="0.2">
      <c r="A88" s="2" t="s">
        <v>280</v>
      </c>
      <c r="B88" s="2" t="s">
        <v>32</v>
      </c>
      <c r="C88" s="2">
        <v>33</v>
      </c>
      <c r="D88" s="2">
        <v>11</v>
      </c>
      <c r="E88" s="2" t="s">
        <v>281</v>
      </c>
      <c r="F88" s="2" t="s">
        <v>249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</row>
    <row r="89" spans="1:28" x14ac:dyDescent="0.2">
      <c r="A89" s="2" t="s">
        <v>282</v>
      </c>
      <c r="B89" s="2" t="s">
        <v>44</v>
      </c>
      <c r="C89" s="2">
        <v>24</v>
      </c>
      <c r="D89" s="2">
        <v>2</v>
      </c>
      <c r="E89" s="2" t="s">
        <v>283</v>
      </c>
      <c r="F89" s="2" t="s">
        <v>249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</row>
    <row r="90" spans="1:28" x14ac:dyDescent="0.2">
      <c r="A90" s="2" t="s">
        <v>284</v>
      </c>
      <c r="B90" s="2" t="s">
        <v>44</v>
      </c>
      <c r="C90" s="2">
        <v>24</v>
      </c>
      <c r="D90" s="2">
        <v>4</v>
      </c>
      <c r="E90" s="2" t="s">
        <v>281</v>
      </c>
      <c r="F90" s="2" t="s">
        <v>249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</row>
    <row r="91" spans="1:28" x14ac:dyDescent="0.2">
      <c r="A91" s="2" t="s">
        <v>285</v>
      </c>
      <c r="B91" s="2" t="s">
        <v>44</v>
      </c>
      <c r="C91" s="2">
        <v>29</v>
      </c>
      <c r="D91" s="2">
        <v>9</v>
      </c>
      <c r="E91" s="2" t="s">
        <v>227</v>
      </c>
      <c r="F91" s="2" t="s">
        <v>249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</row>
    <row r="92" spans="1:28" x14ac:dyDescent="0.2">
      <c r="A92" s="2" t="s">
        <v>286</v>
      </c>
      <c r="B92" s="2" t="s">
        <v>44</v>
      </c>
      <c r="C92" s="2">
        <v>25</v>
      </c>
      <c r="D92" s="2">
        <v>5</v>
      </c>
      <c r="E92" s="2" t="s">
        <v>287</v>
      </c>
      <c r="F92" s="2" t="s">
        <v>249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</row>
    <row r="93" spans="1:28" x14ac:dyDescent="0.2">
      <c r="A93" s="2" t="s">
        <v>288</v>
      </c>
      <c r="B93" s="2" t="s">
        <v>44</v>
      </c>
      <c r="C93" s="2">
        <v>24</v>
      </c>
      <c r="D93" s="2">
        <v>0</v>
      </c>
      <c r="E93" s="2" t="s">
        <v>213</v>
      </c>
      <c r="F93" s="2" t="s">
        <v>249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</row>
    <row r="94" spans="1:28" x14ac:dyDescent="0.2">
      <c r="A94" s="2" t="s">
        <v>289</v>
      </c>
      <c r="B94" s="2" t="s">
        <v>44</v>
      </c>
      <c r="C94" s="2">
        <v>26</v>
      </c>
      <c r="D94" s="2">
        <v>3</v>
      </c>
      <c r="E94" s="2" t="s">
        <v>279</v>
      </c>
      <c r="F94" s="2" t="s">
        <v>249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</row>
    <row r="95" spans="1:28" x14ac:dyDescent="0.2">
      <c r="A95" s="2" t="s">
        <v>290</v>
      </c>
      <c r="B95" s="2" t="s">
        <v>44</v>
      </c>
      <c r="C95" s="2">
        <v>24</v>
      </c>
      <c r="D95" s="2">
        <v>3</v>
      </c>
      <c r="E95" s="2" t="s">
        <v>291</v>
      </c>
      <c r="F95" s="2" t="s">
        <v>249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</row>
    <row r="96" spans="1:28" x14ac:dyDescent="0.2">
      <c r="A96" s="2" t="s">
        <v>292</v>
      </c>
      <c r="B96" s="2" t="s">
        <v>44</v>
      </c>
      <c r="C96" s="2">
        <v>23</v>
      </c>
      <c r="D96" s="2">
        <v>2</v>
      </c>
      <c r="E96" s="2" t="s">
        <v>293</v>
      </c>
      <c r="F96" s="2" t="s">
        <v>249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</row>
    <row r="97" spans="1:28" x14ac:dyDescent="0.2">
      <c r="A97" s="2" t="s">
        <v>294</v>
      </c>
      <c r="B97" s="2" t="s">
        <v>44</v>
      </c>
      <c r="C97" s="2">
        <v>23</v>
      </c>
      <c r="D97" s="2">
        <v>0</v>
      </c>
      <c r="E97" s="2" t="s">
        <v>295</v>
      </c>
      <c r="F97" s="2" t="s">
        <v>249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</row>
    <row r="98" spans="1:28" x14ac:dyDescent="0.2">
      <c r="A98" s="2" t="s">
        <v>296</v>
      </c>
      <c r="B98" s="2" t="s">
        <v>44</v>
      </c>
      <c r="C98" s="2">
        <v>27</v>
      </c>
      <c r="D98" s="2">
        <v>6</v>
      </c>
      <c r="E98" s="2" t="s">
        <v>104</v>
      </c>
      <c r="F98" s="2" t="s">
        <v>249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</row>
    <row r="99" spans="1:28" x14ac:dyDescent="0.2">
      <c r="A99" s="2" t="s">
        <v>297</v>
      </c>
      <c r="B99" s="2" t="s">
        <v>44</v>
      </c>
      <c r="C99" s="2">
        <v>23</v>
      </c>
      <c r="D99" s="2">
        <v>0</v>
      </c>
      <c r="E99" s="2" t="s">
        <v>176</v>
      </c>
      <c r="F99" s="2" t="s">
        <v>249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</row>
    <row r="100" spans="1:28" x14ac:dyDescent="0.2">
      <c r="A100" s="2" t="s">
        <v>298</v>
      </c>
      <c r="B100" s="2" t="s">
        <v>44</v>
      </c>
      <c r="C100" s="2">
        <v>24</v>
      </c>
      <c r="D100" s="2">
        <v>0</v>
      </c>
      <c r="E100" s="2" t="s">
        <v>155</v>
      </c>
      <c r="F100" s="2" t="s">
        <v>249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</row>
    <row r="101" spans="1:28" x14ac:dyDescent="0.2">
      <c r="A101" s="2" t="s">
        <v>299</v>
      </c>
      <c r="B101" s="2" t="s">
        <v>44</v>
      </c>
      <c r="C101" s="2">
        <v>24</v>
      </c>
      <c r="D101" s="2">
        <v>0</v>
      </c>
      <c r="E101" s="2" t="s">
        <v>300</v>
      </c>
      <c r="F101" s="2" t="s">
        <v>249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</row>
    <row r="102" spans="1:28" x14ac:dyDescent="0.2">
      <c r="A102" s="2" t="s">
        <v>301</v>
      </c>
      <c r="B102" s="2" t="s">
        <v>39</v>
      </c>
      <c r="C102" s="2">
        <v>24</v>
      </c>
      <c r="D102" s="2">
        <v>1</v>
      </c>
      <c r="E102" s="2" t="s">
        <v>302</v>
      </c>
      <c r="F102" s="2" t="s">
        <v>249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</row>
    <row r="103" spans="1:28" x14ac:dyDescent="0.2">
      <c r="A103" s="2" t="s">
        <v>303</v>
      </c>
      <c r="B103" s="2" t="s">
        <v>39</v>
      </c>
      <c r="C103" s="2">
        <v>27</v>
      </c>
      <c r="D103" s="2">
        <v>1</v>
      </c>
      <c r="E103" s="2" t="s">
        <v>304</v>
      </c>
      <c r="F103" s="2" t="s">
        <v>249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</row>
    <row r="104" spans="1:28" x14ac:dyDescent="0.2">
      <c r="A104" s="2" t="s">
        <v>305</v>
      </c>
      <c r="B104" s="2" t="s">
        <v>39</v>
      </c>
      <c r="C104" s="2">
        <v>23</v>
      </c>
      <c r="D104" s="2">
        <v>0</v>
      </c>
      <c r="E104" s="2" t="s">
        <v>203</v>
      </c>
      <c r="F104" s="2" t="s">
        <v>249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</row>
    <row r="105" spans="1:28" x14ac:dyDescent="0.2">
      <c r="A105" s="2" t="s">
        <v>306</v>
      </c>
      <c r="B105" s="2" t="s">
        <v>39</v>
      </c>
      <c r="C105" s="2">
        <v>26</v>
      </c>
      <c r="D105" s="2">
        <v>5</v>
      </c>
      <c r="E105" s="2" t="s">
        <v>239</v>
      </c>
      <c r="F105" s="2" t="s">
        <v>249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</row>
    <row r="106" spans="1:28" x14ac:dyDescent="0.2">
      <c r="A106" s="2" t="s">
        <v>307</v>
      </c>
      <c r="B106" s="2" t="s">
        <v>39</v>
      </c>
      <c r="C106" s="2">
        <v>24</v>
      </c>
      <c r="D106" s="2">
        <v>2</v>
      </c>
      <c r="E106" s="2" t="s">
        <v>168</v>
      </c>
      <c r="F106" s="2" t="s">
        <v>249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</row>
    <row r="107" spans="1:28" x14ac:dyDescent="0.2">
      <c r="A107" s="2" t="s">
        <v>328</v>
      </c>
      <c r="B107" s="2" t="s">
        <v>27</v>
      </c>
      <c r="C107" s="2">
        <v>24</v>
      </c>
      <c r="D107" s="2">
        <v>0</v>
      </c>
      <c r="E107" s="2" t="s">
        <v>239</v>
      </c>
      <c r="F107" s="2" t="s">
        <v>311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</row>
    <row r="108" spans="1:28" x14ac:dyDescent="0.2">
      <c r="A108" s="2" t="s">
        <v>329</v>
      </c>
      <c r="B108" s="2" t="s">
        <v>27</v>
      </c>
      <c r="C108" s="2">
        <v>35</v>
      </c>
      <c r="D108" s="2">
        <v>12</v>
      </c>
      <c r="E108" s="2" t="s">
        <v>77</v>
      </c>
      <c r="F108" s="2" t="s">
        <v>311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</row>
    <row r="109" spans="1:28" x14ac:dyDescent="0.2">
      <c r="A109" s="2" t="s">
        <v>330</v>
      </c>
      <c r="B109" s="2" t="s">
        <v>27</v>
      </c>
      <c r="C109" s="2">
        <v>21</v>
      </c>
      <c r="D109" s="2">
        <v>0</v>
      </c>
      <c r="E109" s="2" t="s">
        <v>153</v>
      </c>
      <c r="F109" s="2" t="s">
        <v>311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</row>
    <row r="110" spans="1:28" x14ac:dyDescent="0.2">
      <c r="A110" s="2" t="s">
        <v>331</v>
      </c>
      <c r="B110" s="2" t="s">
        <v>32</v>
      </c>
      <c r="C110" s="2">
        <v>25</v>
      </c>
      <c r="D110" s="2">
        <v>2</v>
      </c>
      <c r="E110" s="2" t="s">
        <v>332</v>
      </c>
      <c r="F110" s="2" t="s">
        <v>311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</row>
    <row r="111" spans="1:28" x14ac:dyDescent="0.2">
      <c r="A111" s="2" t="s">
        <v>333</v>
      </c>
      <c r="B111" s="2" t="s">
        <v>32</v>
      </c>
      <c r="C111" s="2">
        <v>24</v>
      </c>
      <c r="D111" s="2">
        <v>1</v>
      </c>
      <c r="E111" s="2" t="s">
        <v>334</v>
      </c>
      <c r="F111" s="2" t="s">
        <v>311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</row>
    <row r="112" spans="1:28" x14ac:dyDescent="0.2">
      <c r="A112" s="2" t="s">
        <v>335</v>
      </c>
      <c r="B112" s="2" t="s">
        <v>32</v>
      </c>
      <c r="C112" s="2">
        <v>22</v>
      </c>
      <c r="D112" s="2">
        <v>0</v>
      </c>
      <c r="E112" s="2" t="s">
        <v>205</v>
      </c>
      <c r="F112" s="2" t="s">
        <v>311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</row>
    <row r="113" spans="1:28" x14ac:dyDescent="0.2">
      <c r="A113" s="2" t="s">
        <v>336</v>
      </c>
      <c r="B113" s="2" t="s">
        <v>32</v>
      </c>
      <c r="C113" s="2">
        <v>24</v>
      </c>
      <c r="D113" s="2">
        <v>3</v>
      </c>
      <c r="E113" s="2" t="s">
        <v>213</v>
      </c>
      <c r="F113" s="2" t="s">
        <v>311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</row>
    <row r="114" spans="1:28" x14ac:dyDescent="0.2">
      <c r="A114" s="2" t="s">
        <v>337</v>
      </c>
      <c r="B114" s="2" t="s">
        <v>32</v>
      </c>
      <c r="C114" s="2">
        <v>23</v>
      </c>
      <c r="D114" s="2">
        <v>0</v>
      </c>
      <c r="E114" s="2" t="s">
        <v>338</v>
      </c>
      <c r="F114" s="2" t="s">
        <v>311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</row>
    <row r="115" spans="1:28" x14ac:dyDescent="0.2">
      <c r="A115" s="2" t="s">
        <v>339</v>
      </c>
      <c r="B115" s="2" t="s">
        <v>32</v>
      </c>
      <c r="C115" s="2">
        <v>26</v>
      </c>
      <c r="D115" s="2">
        <v>5</v>
      </c>
      <c r="E115" s="2" t="s">
        <v>340</v>
      </c>
      <c r="F115" s="2" t="s">
        <v>311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</row>
    <row r="116" spans="1:28" x14ac:dyDescent="0.2">
      <c r="A116" s="2" t="s">
        <v>341</v>
      </c>
      <c r="B116" s="2" t="s">
        <v>44</v>
      </c>
      <c r="C116" s="2">
        <v>30</v>
      </c>
      <c r="D116" s="2">
        <v>7</v>
      </c>
      <c r="E116" s="2" t="s">
        <v>342</v>
      </c>
      <c r="F116" s="2" t="s">
        <v>311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</row>
    <row r="117" spans="1:28" x14ac:dyDescent="0.2">
      <c r="A117" s="2" t="s">
        <v>343</v>
      </c>
      <c r="B117" s="2" t="s">
        <v>44</v>
      </c>
      <c r="C117" s="2">
        <v>26</v>
      </c>
      <c r="D117" s="2">
        <v>5</v>
      </c>
      <c r="E117" s="2" t="s">
        <v>222</v>
      </c>
      <c r="F117" s="2" t="s">
        <v>311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</row>
    <row r="118" spans="1:28" x14ac:dyDescent="0.2">
      <c r="A118" s="2" t="s">
        <v>344</v>
      </c>
      <c r="B118" s="2" t="s">
        <v>44</v>
      </c>
      <c r="C118" s="2">
        <v>26</v>
      </c>
      <c r="D118" s="2">
        <v>2</v>
      </c>
      <c r="E118" s="2" t="s">
        <v>345</v>
      </c>
      <c r="F118" s="2" t="s">
        <v>311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</row>
    <row r="119" spans="1:28" x14ac:dyDescent="0.2">
      <c r="A119" s="2" t="s">
        <v>346</v>
      </c>
      <c r="B119" s="2" t="s">
        <v>44</v>
      </c>
      <c r="C119" s="2">
        <v>23</v>
      </c>
      <c r="D119" s="2">
        <v>3</v>
      </c>
      <c r="E119" s="2" t="s">
        <v>222</v>
      </c>
      <c r="F119" s="2" t="s">
        <v>311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</row>
    <row r="120" spans="1:28" x14ac:dyDescent="0.2">
      <c r="A120" s="2" t="s">
        <v>347</v>
      </c>
      <c r="B120" s="2" t="s">
        <v>44</v>
      </c>
      <c r="C120" s="2">
        <v>22</v>
      </c>
      <c r="D120" s="2">
        <v>0</v>
      </c>
      <c r="E120" s="2" t="s">
        <v>239</v>
      </c>
      <c r="F120" s="2" t="s">
        <v>311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</row>
    <row r="121" spans="1:28" x14ac:dyDescent="0.2">
      <c r="A121" s="2" t="s">
        <v>348</v>
      </c>
      <c r="B121" s="2" t="s">
        <v>44</v>
      </c>
      <c r="C121" s="2">
        <v>26</v>
      </c>
      <c r="D121" s="2">
        <v>1</v>
      </c>
      <c r="E121" s="2" t="s">
        <v>209</v>
      </c>
      <c r="F121" s="2" t="s">
        <v>311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</row>
    <row r="122" spans="1:28" x14ac:dyDescent="0.2">
      <c r="A122" s="2" t="s">
        <v>349</v>
      </c>
      <c r="B122" s="2" t="s">
        <v>44</v>
      </c>
      <c r="C122" s="2">
        <v>24</v>
      </c>
      <c r="D122" s="2">
        <v>4</v>
      </c>
      <c r="E122" s="2" t="s">
        <v>83</v>
      </c>
      <c r="F122" s="2" t="s">
        <v>311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</row>
    <row r="123" spans="1:28" x14ac:dyDescent="0.2">
      <c r="A123" s="2" t="s">
        <v>350</v>
      </c>
      <c r="B123" s="2" t="s">
        <v>44</v>
      </c>
      <c r="C123" s="2">
        <v>24</v>
      </c>
      <c r="D123" s="2">
        <v>3</v>
      </c>
      <c r="E123" s="2" t="s">
        <v>342</v>
      </c>
      <c r="F123" s="2" t="s">
        <v>311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</row>
    <row r="124" spans="1:28" x14ac:dyDescent="0.2">
      <c r="A124" s="2" t="s">
        <v>351</v>
      </c>
      <c r="B124" s="2" t="s">
        <v>44</v>
      </c>
      <c r="C124" s="2">
        <v>25</v>
      </c>
      <c r="D124" s="2">
        <v>2</v>
      </c>
      <c r="E124" s="2" t="s">
        <v>71</v>
      </c>
      <c r="F124" s="2" t="s">
        <v>311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</row>
    <row r="125" spans="1:28" x14ac:dyDescent="0.2">
      <c r="A125" s="2" t="s">
        <v>352</v>
      </c>
      <c r="B125" s="2" t="s">
        <v>44</v>
      </c>
      <c r="C125" s="2">
        <v>32</v>
      </c>
      <c r="D125" s="2">
        <v>10</v>
      </c>
      <c r="E125" s="2" t="s">
        <v>353</v>
      </c>
      <c r="F125" s="2" t="s">
        <v>311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</row>
    <row r="126" spans="1:28" x14ac:dyDescent="0.2">
      <c r="A126" s="2" t="s">
        <v>354</v>
      </c>
      <c r="B126" s="2" t="s">
        <v>44</v>
      </c>
      <c r="C126" s="2">
        <v>23</v>
      </c>
      <c r="D126" s="2">
        <v>0</v>
      </c>
      <c r="E126" s="2" t="s">
        <v>342</v>
      </c>
      <c r="F126" s="2" t="s">
        <v>311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</row>
    <row r="127" spans="1:28" x14ac:dyDescent="0.2">
      <c r="A127" s="2" t="s">
        <v>355</v>
      </c>
      <c r="B127" s="2" t="s">
        <v>44</v>
      </c>
      <c r="C127" s="2">
        <v>24</v>
      </c>
      <c r="D127" s="2">
        <v>1</v>
      </c>
      <c r="E127" s="2" t="s">
        <v>88</v>
      </c>
      <c r="F127" s="2" t="s">
        <v>311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</row>
    <row r="128" spans="1:28" x14ac:dyDescent="0.2">
      <c r="A128" s="2" t="s">
        <v>356</v>
      </c>
      <c r="B128" s="2" t="s">
        <v>39</v>
      </c>
      <c r="C128" s="2">
        <v>29</v>
      </c>
      <c r="D128" s="2">
        <v>6</v>
      </c>
      <c r="E128" s="2" t="s">
        <v>342</v>
      </c>
      <c r="F128" s="2" t="s">
        <v>311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</row>
    <row r="129" spans="1:28" x14ac:dyDescent="0.2">
      <c r="A129" s="2" t="s">
        <v>357</v>
      </c>
      <c r="B129" s="2" t="s">
        <v>39</v>
      </c>
      <c r="C129" s="2">
        <v>26</v>
      </c>
      <c r="D129" s="2">
        <v>3</v>
      </c>
      <c r="E129" s="2" t="s">
        <v>358</v>
      </c>
      <c r="F129" s="2" t="s">
        <v>311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</row>
    <row r="130" spans="1:28" x14ac:dyDescent="0.2">
      <c r="A130" s="2" t="s">
        <v>359</v>
      </c>
      <c r="B130" s="2" t="s">
        <v>39</v>
      </c>
      <c r="C130" s="2">
        <v>26</v>
      </c>
      <c r="D130" s="2">
        <v>2</v>
      </c>
      <c r="E130" s="2" t="s">
        <v>222</v>
      </c>
      <c r="F130" s="2" t="s">
        <v>311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</row>
    <row r="131" spans="1:28" x14ac:dyDescent="0.2">
      <c r="A131" s="2" t="s">
        <v>360</v>
      </c>
      <c r="B131" s="2" t="s">
        <v>39</v>
      </c>
      <c r="C131" s="2">
        <v>27</v>
      </c>
      <c r="D131" s="2">
        <v>6</v>
      </c>
      <c r="E131" s="2" t="s">
        <v>361</v>
      </c>
      <c r="F131" s="2" t="s">
        <v>311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</row>
    <row r="132" spans="1:28" x14ac:dyDescent="0.2">
      <c r="A132" s="2" t="s">
        <v>387</v>
      </c>
      <c r="B132" s="2" t="s">
        <v>27</v>
      </c>
      <c r="C132" s="2">
        <v>23</v>
      </c>
      <c r="D132" s="2">
        <v>0</v>
      </c>
      <c r="E132" s="2" t="s">
        <v>388</v>
      </c>
      <c r="F132" s="2" t="s">
        <v>365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</row>
    <row r="133" spans="1:28" x14ac:dyDescent="0.2">
      <c r="A133" s="2" t="s">
        <v>389</v>
      </c>
      <c r="B133" s="2" t="s">
        <v>27</v>
      </c>
      <c r="C133" s="2">
        <v>24</v>
      </c>
      <c r="D133" s="2">
        <v>3</v>
      </c>
      <c r="E133" s="2" t="s">
        <v>209</v>
      </c>
      <c r="F133" s="2" t="s">
        <v>365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</row>
    <row r="134" spans="1:28" x14ac:dyDescent="0.2">
      <c r="A134" s="2" t="s">
        <v>390</v>
      </c>
      <c r="B134" s="2" t="s">
        <v>27</v>
      </c>
      <c r="C134" s="2">
        <v>29</v>
      </c>
      <c r="D134" s="2">
        <v>7</v>
      </c>
      <c r="E134" s="2" t="s">
        <v>75</v>
      </c>
      <c r="F134" s="2" t="s">
        <v>365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</row>
    <row r="135" spans="1:28" x14ac:dyDescent="0.2">
      <c r="A135" s="2" t="s">
        <v>391</v>
      </c>
      <c r="B135" s="2" t="s">
        <v>27</v>
      </c>
      <c r="C135" s="2">
        <v>28</v>
      </c>
      <c r="D135" s="2">
        <v>4</v>
      </c>
      <c r="E135" s="2" t="s">
        <v>392</v>
      </c>
      <c r="F135" s="2" t="s">
        <v>365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</row>
    <row r="136" spans="1:28" x14ac:dyDescent="0.2">
      <c r="A136" s="2" t="s">
        <v>393</v>
      </c>
      <c r="B136" s="2" t="s">
        <v>32</v>
      </c>
      <c r="C136" s="2">
        <v>24</v>
      </c>
      <c r="D136" s="2">
        <v>2</v>
      </c>
      <c r="E136" s="2" t="s">
        <v>394</v>
      </c>
      <c r="F136" s="2" t="s">
        <v>365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</row>
    <row r="137" spans="1:28" x14ac:dyDescent="0.2">
      <c r="A137" s="2" t="s">
        <v>395</v>
      </c>
      <c r="B137" s="2" t="s">
        <v>32</v>
      </c>
      <c r="C137" s="2">
        <v>27</v>
      </c>
      <c r="D137" s="2">
        <v>6</v>
      </c>
      <c r="E137" s="2" t="s">
        <v>67</v>
      </c>
      <c r="F137" s="2" t="s">
        <v>365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</row>
    <row r="138" spans="1:28" x14ac:dyDescent="0.2">
      <c r="A138" s="2" t="s">
        <v>396</v>
      </c>
      <c r="B138" s="2" t="s">
        <v>32</v>
      </c>
      <c r="C138" s="2">
        <v>25</v>
      </c>
      <c r="D138" s="2">
        <v>3</v>
      </c>
      <c r="E138" s="2" t="s">
        <v>332</v>
      </c>
      <c r="F138" s="2" t="s">
        <v>365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</row>
    <row r="139" spans="1:28" x14ac:dyDescent="0.2">
      <c r="A139" s="2" t="s">
        <v>397</v>
      </c>
      <c r="B139" s="2" t="s">
        <v>32</v>
      </c>
      <c r="C139" s="2">
        <v>24</v>
      </c>
      <c r="D139" s="2">
        <v>5</v>
      </c>
      <c r="E139" s="2" t="s">
        <v>398</v>
      </c>
      <c r="F139" s="2" t="s">
        <v>365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</row>
    <row r="140" spans="1:28" x14ac:dyDescent="0.2">
      <c r="A140" s="2" t="s">
        <v>399</v>
      </c>
      <c r="B140" s="2" t="s">
        <v>32</v>
      </c>
      <c r="C140" s="2">
        <v>22</v>
      </c>
      <c r="D140" s="2">
        <v>0</v>
      </c>
      <c r="E140" s="2" t="s">
        <v>67</v>
      </c>
      <c r="F140" s="2" t="s">
        <v>365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</row>
    <row r="141" spans="1:28" x14ac:dyDescent="0.2">
      <c r="A141" s="2" t="s">
        <v>400</v>
      </c>
      <c r="B141" s="2" t="s">
        <v>44</v>
      </c>
      <c r="C141" s="2">
        <v>25</v>
      </c>
      <c r="D141" s="2">
        <v>4</v>
      </c>
      <c r="E141" s="2" t="s">
        <v>363</v>
      </c>
      <c r="F141" s="2" t="s">
        <v>365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</row>
    <row r="142" spans="1:28" x14ac:dyDescent="0.2">
      <c r="A142" s="2" t="s">
        <v>401</v>
      </c>
      <c r="B142" s="2" t="s">
        <v>44</v>
      </c>
      <c r="C142" s="2">
        <v>22</v>
      </c>
      <c r="D142" s="2">
        <v>0</v>
      </c>
      <c r="E142" s="2" t="s">
        <v>211</v>
      </c>
      <c r="F142" s="2" t="s">
        <v>365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</row>
    <row r="143" spans="1:28" x14ac:dyDescent="0.2">
      <c r="A143" s="2" t="s">
        <v>402</v>
      </c>
      <c r="B143" s="2" t="s">
        <v>44</v>
      </c>
      <c r="C143" s="2">
        <v>27</v>
      </c>
      <c r="D143" s="2">
        <v>4</v>
      </c>
      <c r="E143" s="2" t="s">
        <v>403</v>
      </c>
      <c r="F143" s="2" t="s">
        <v>365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</row>
    <row r="144" spans="1:28" x14ac:dyDescent="0.2">
      <c r="A144" s="2" t="s">
        <v>404</v>
      </c>
      <c r="B144" s="2" t="s">
        <v>44</v>
      </c>
      <c r="C144" s="2">
        <v>26</v>
      </c>
      <c r="D144" s="2">
        <v>2</v>
      </c>
      <c r="E144" s="2" t="s">
        <v>141</v>
      </c>
      <c r="F144" s="2" t="s">
        <v>365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</row>
    <row r="145" spans="1:28" x14ac:dyDescent="0.2">
      <c r="A145" s="2" t="s">
        <v>405</v>
      </c>
      <c r="B145" s="2" t="s">
        <v>44</v>
      </c>
      <c r="C145" s="2">
        <v>25</v>
      </c>
      <c r="D145" s="2">
        <v>4</v>
      </c>
      <c r="E145" s="2" t="s">
        <v>406</v>
      </c>
      <c r="F145" s="2" t="s">
        <v>365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</row>
    <row r="146" spans="1:28" x14ac:dyDescent="0.2">
      <c r="A146" s="2" t="s">
        <v>407</v>
      </c>
      <c r="B146" s="2" t="s">
        <v>44</v>
      </c>
      <c r="C146" s="2">
        <v>26</v>
      </c>
      <c r="D146" s="2">
        <v>6</v>
      </c>
      <c r="E146" s="2" t="s">
        <v>227</v>
      </c>
      <c r="F146" s="2" t="s">
        <v>365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</row>
    <row r="147" spans="1:28" x14ac:dyDescent="0.2">
      <c r="A147" s="2" t="s">
        <v>408</v>
      </c>
      <c r="B147" s="2" t="s">
        <v>44</v>
      </c>
      <c r="C147" s="2">
        <v>27</v>
      </c>
      <c r="D147" s="2">
        <v>6</v>
      </c>
      <c r="E147" s="2" t="s">
        <v>85</v>
      </c>
      <c r="F147" s="2" t="s">
        <v>365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</row>
    <row r="148" spans="1:28" x14ac:dyDescent="0.2">
      <c r="A148" s="2" t="s">
        <v>409</v>
      </c>
      <c r="B148" s="2" t="s">
        <v>44</v>
      </c>
      <c r="C148" s="2">
        <v>22</v>
      </c>
      <c r="D148" s="2">
        <v>0</v>
      </c>
      <c r="E148" s="2" t="s">
        <v>410</v>
      </c>
      <c r="F148" s="2" t="s">
        <v>365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</row>
    <row r="149" spans="1:28" x14ac:dyDescent="0.2">
      <c r="A149" s="2" t="s">
        <v>411</v>
      </c>
      <c r="B149" s="2" t="s">
        <v>44</v>
      </c>
      <c r="C149" s="2">
        <v>25</v>
      </c>
      <c r="D149" s="2">
        <v>2</v>
      </c>
      <c r="E149" s="2" t="s">
        <v>412</v>
      </c>
      <c r="F149" s="2" t="s">
        <v>365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</row>
    <row r="150" spans="1:28" x14ac:dyDescent="0.2">
      <c r="A150" s="2" t="s">
        <v>413</v>
      </c>
      <c r="B150" s="2" t="s">
        <v>44</v>
      </c>
      <c r="C150" s="2">
        <v>21</v>
      </c>
      <c r="D150" s="2">
        <v>0</v>
      </c>
      <c r="E150" s="2" t="s">
        <v>133</v>
      </c>
      <c r="F150" s="2" t="s">
        <v>365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</row>
    <row r="151" spans="1:28" x14ac:dyDescent="0.2">
      <c r="A151" s="2" t="s">
        <v>414</v>
      </c>
      <c r="B151" s="2" t="s">
        <v>44</v>
      </c>
      <c r="C151" s="2">
        <v>26</v>
      </c>
      <c r="D151" s="2">
        <v>6</v>
      </c>
      <c r="E151" s="2" t="s">
        <v>363</v>
      </c>
      <c r="F151" s="2" t="s">
        <v>365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</row>
    <row r="152" spans="1:28" x14ac:dyDescent="0.2">
      <c r="A152" s="2" t="s">
        <v>415</v>
      </c>
      <c r="B152" s="2" t="s">
        <v>44</v>
      </c>
      <c r="C152" s="2">
        <v>27</v>
      </c>
      <c r="D152" s="2">
        <v>4</v>
      </c>
      <c r="E152" s="2" t="s">
        <v>416</v>
      </c>
      <c r="F152" s="2" t="s">
        <v>365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</row>
    <row r="153" spans="1:28" x14ac:dyDescent="0.2">
      <c r="A153" s="2" t="s">
        <v>417</v>
      </c>
      <c r="B153" s="2" t="s">
        <v>39</v>
      </c>
      <c r="C153" s="2">
        <v>26</v>
      </c>
      <c r="D153" s="2">
        <v>1</v>
      </c>
      <c r="E153" s="2" t="s">
        <v>243</v>
      </c>
      <c r="F153" s="2" t="s">
        <v>365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</row>
    <row r="154" spans="1:28" x14ac:dyDescent="0.2">
      <c r="A154" s="2" t="s">
        <v>418</v>
      </c>
      <c r="B154" s="2" t="s">
        <v>39</v>
      </c>
      <c r="C154" s="2">
        <v>26</v>
      </c>
      <c r="D154" s="2">
        <v>4</v>
      </c>
      <c r="E154" s="2" t="s">
        <v>419</v>
      </c>
      <c r="F154" s="2" t="s">
        <v>365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</row>
    <row r="155" spans="1:28" x14ac:dyDescent="0.2">
      <c r="A155" s="2" t="s">
        <v>420</v>
      </c>
      <c r="B155" s="2" t="s">
        <v>39</v>
      </c>
      <c r="C155" s="2">
        <v>24</v>
      </c>
      <c r="D155" s="2">
        <v>4</v>
      </c>
      <c r="E155" s="2" t="s">
        <v>363</v>
      </c>
      <c r="F155" s="2" t="s">
        <v>365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</row>
    <row r="156" spans="1:28" x14ac:dyDescent="0.2">
      <c r="A156" s="2" t="s">
        <v>421</v>
      </c>
      <c r="B156" s="2" t="s">
        <v>39</v>
      </c>
      <c r="C156" s="2">
        <v>24</v>
      </c>
      <c r="D156" s="2">
        <v>2</v>
      </c>
      <c r="E156" s="2" t="s">
        <v>422</v>
      </c>
      <c r="F156" s="2" t="s">
        <v>365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</row>
    <row r="157" spans="1:28" x14ac:dyDescent="0.2">
      <c r="A157" s="2" t="s">
        <v>442</v>
      </c>
      <c r="B157" s="2" t="s">
        <v>27</v>
      </c>
      <c r="C157" s="2">
        <v>27</v>
      </c>
      <c r="D157" s="2">
        <v>1</v>
      </c>
      <c r="E157" s="2" t="s">
        <v>85</v>
      </c>
      <c r="F157" s="2" t="s">
        <v>426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</row>
    <row r="158" spans="1:28" x14ac:dyDescent="0.2">
      <c r="A158" s="2" t="s">
        <v>443</v>
      </c>
      <c r="B158" s="2" t="s">
        <v>27</v>
      </c>
      <c r="C158" s="2">
        <v>26</v>
      </c>
      <c r="D158" s="2">
        <v>4</v>
      </c>
      <c r="E158" s="2" t="s">
        <v>222</v>
      </c>
      <c r="F158" s="2" t="s">
        <v>426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</row>
    <row r="159" spans="1:28" x14ac:dyDescent="0.2">
      <c r="A159" s="2" t="s">
        <v>444</v>
      </c>
      <c r="B159" s="2" t="s">
        <v>27</v>
      </c>
      <c r="C159" s="2">
        <v>31</v>
      </c>
      <c r="D159" s="2">
        <v>8</v>
      </c>
      <c r="E159" s="2" t="s">
        <v>445</v>
      </c>
      <c r="F159" s="2" t="s">
        <v>426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</row>
    <row r="160" spans="1:28" x14ac:dyDescent="0.2">
      <c r="A160" s="2" t="s">
        <v>446</v>
      </c>
      <c r="B160" s="2" t="s">
        <v>32</v>
      </c>
      <c r="C160" s="2">
        <v>23</v>
      </c>
      <c r="D160" s="2">
        <v>0</v>
      </c>
      <c r="E160" s="2" t="s">
        <v>447</v>
      </c>
      <c r="F160" s="2" t="s">
        <v>426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</row>
    <row r="161" spans="1:28" x14ac:dyDescent="0.2">
      <c r="A161" s="2" t="s">
        <v>448</v>
      </c>
      <c r="B161" s="2" t="s">
        <v>32</v>
      </c>
      <c r="C161" s="2">
        <v>25</v>
      </c>
      <c r="D161" s="2">
        <v>3</v>
      </c>
      <c r="E161" s="2" t="s">
        <v>100</v>
      </c>
      <c r="F161" s="2" t="s">
        <v>426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</row>
    <row r="162" spans="1:28" x14ac:dyDescent="0.2">
      <c r="A162" s="2" t="s">
        <v>449</v>
      </c>
      <c r="B162" s="2" t="s">
        <v>32</v>
      </c>
      <c r="C162" s="2">
        <v>26</v>
      </c>
      <c r="D162" s="2">
        <v>7</v>
      </c>
      <c r="E162" s="2" t="s">
        <v>69</v>
      </c>
      <c r="F162" s="2" t="s">
        <v>426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</row>
    <row r="163" spans="1:28" x14ac:dyDescent="0.2">
      <c r="A163" s="2" t="s">
        <v>450</v>
      </c>
      <c r="B163" s="2" t="s">
        <v>32</v>
      </c>
      <c r="C163" s="2">
        <v>23</v>
      </c>
      <c r="D163" s="2">
        <v>0</v>
      </c>
      <c r="E163" s="2" t="s">
        <v>451</v>
      </c>
      <c r="F163" s="2" t="s">
        <v>426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</row>
    <row r="164" spans="1:28" x14ac:dyDescent="0.2">
      <c r="A164" s="2" t="s">
        <v>452</v>
      </c>
      <c r="B164" s="2" t="s">
        <v>32</v>
      </c>
      <c r="C164" s="2">
        <v>24</v>
      </c>
      <c r="D164" s="2">
        <v>0</v>
      </c>
      <c r="E164" s="2" t="s">
        <v>88</v>
      </c>
      <c r="F164" s="2" t="s">
        <v>426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</row>
    <row r="165" spans="1:28" x14ac:dyDescent="0.2">
      <c r="A165" s="2" t="s">
        <v>453</v>
      </c>
      <c r="B165" s="2" t="s">
        <v>32</v>
      </c>
      <c r="C165" s="2">
        <v>25</v>
      </c>
      <c r="D165" s="2">
        <v>5</v>
      </c>
      <c r="E165" s="2" t="s">
        <v>454</v>
      </c>
      <c r="F165" s="2" t="s">
        <v>426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</row>
    <row r="166" spans="1:28" x14ac:dyDescent="0.2">
      <c r="A166" s="2" t="s">
        <v>455</v>
      </c>
      <c r="B166" s="2" t="s">
        <v>44</v>
      </c>
      <c r="C166" s="2">
        <v>29</v>
      </c>
      <c r="D166" s="2">
        <v>8</v>
      </c>
      <c r="E166" s="2" t="s">
        <v>75</v>
      </c>
      <c r="F166" s="2" t="s">
        <v>426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</row>
    <row r="167" spans="1:28" x14ac:dyDescent="0.2">
      <c r="A167" s="2" t="s">
        <v>456</v>
      </c>
      <c r="B167" s="2" t="s">
        <v>44</v>
      </c>
      <c r="C167" s="2">
        <v>23</v>
      </c>
      <c r="D167" s="2">
        <v>0</v>
      </c>
      <c r="E167" s="2" t="s">
        <v>457</v>
      </c>
      <c r="F167" s="2" t="s">
        <v>426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</row>
    <row r="168" spans="1:28" x14ac:dyDescent="0.2">
      <c r="A168" s="2" t="s">
        <v>458</v>
      </c>
      <c r="B168" s="2" t="s">
        <v>44</v>
      </c>
      <c r="C168" s="2">
        <v>23</v>
      </c>
      <c r="D168" s="2">
        <v>3</v>
      </c>
      <c r="E168" s="2" t="s">
        <v>222</v>
      </c>
      <c r="F168" s="2" t="s">
        <v>426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</row>
    <row r="169" spans="1:28" x14ac:dyDescent="0.2">
      <c r="A169" s="2" t="s">
        <v>459</v>
      </c>
      <c r="B169" s="2" t="s">
        <v>44</v>
      </c>
      <c r="C169" s="2">
        <v>24</v>
      </c>
      <c r="D169" s="2">
        <v>4</v>
      </c>
      <c r="E169" s="2" t="s">
        <v>460</v>
      </c>
      <c r="F169" s="2" t="s">
        <v>426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</row>
    <row r="170" spans="1:28" x14ac:dyDescent="0.2">
      <c r="A170" s="2" t="s">
        <v>461</v>
      </c>
      <c r="B170" s="2" t="s">
        <v>44</v>
      </c>
      <c r="C170" s="2">
        <v>24</v>
      </c>
      <c r="D170" s="2">
        <v>0</v>
      </c>
      <c r="E170" s="2" t="s">
        <v>462</v>
      </c>
      <c r="F170" s="2" t="s">
        <v>426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</row>
    <row r="171" spans="1:28" x14ac:dyDescent="0.2">
      <c r="A171" s="2" t="s">
        <v>463</v>
      </c>
      <c r="B171" s="2" t="s">
        <v>44</v>
      </c>
      <c r="C171" s="2">
        <v>23</v>
      </c>
      <c r="D171" s="2">
        <v>0</v>
      </c>
      <c r="E171" s="2" t="s">
        <v>419</v>
      </c>
      <c r="F171" s="2" t="s">
        <v>426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</row>
    <row r="172" spans="1:28" x14ac:dyDescent="0.2">
      <c r="A172" s="2" t="s">
        <v>464</v>
      </c>
      <c r="B172" s="2" t="s">
        <v>44</v>
      </c>
      <c r="C172" s="2">
        <v>27</v>
      </c>
      <c r="D172" s="2">
        <v>3</v>
      </c>
      <c r="E172" s="2" t="s">
        <v>97</v>
      </c>
      <c r="F172" s="2" t="s">
        <v>426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</row>
    <row r="173" spans="1:28" x14ac:dyDescent="0.2">
      <c r="A173" s="2" t="s">
        <v>465</v>
      </c>
      <c r="B173" s="2" t="s">
        <v>44</v>
      </c>
      <c r="C173" s="2">
        <v>23</v>
      </c>
      <c r="D173" s="2">
        <v>0</v>
      </c>
      <c r="E173" s="2" t="s">
        <v>466</v>
      </c>
      <c r="F173" s="2" t="s">
        <v>426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</row>
    <row r="174" spans="1:28" x14ac:dyDescent="0.2">
      <c r="A174" s="2" t="s">
        <v>467</v>
      </c>
      <c r="B174" s="2" t="s">
        <v>44</v>
      </c>
      <c r="C174" s="2">
        <v>24</v>
      </c>
      <c r="D174" s="2">
        <v>0</v>
      </c>
      <c r="E174" s="2" t="s">
        <v>63</v>
      </c>
      <c r="F174" s="2" t="s">
        <v>426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</row>
    <row r="175" spans="1:28" x14ac:dyDescent="0.2">
      <c r="A175" s="2" t="s">
        <v>468</v>
      </c>
      <c r="B175" s="2" t="s">
        <v>44</v>
      </c>
      <c r="C175" s="2">
        <v>25</v>
      </c>
      <c r="D175" s="2">
        <v>1</v>
      </c>
      <c r="E175" s="2" t="s">
        <v>469</v>
      </c>
      <c r="F175" s="2" t="s">
        <v>426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</row>
    <row r="176" spans="1:28" x14ac:dyDescent="0.2">
      <c r="A176" s="2" t="s">
        <v>470</v>
      </c>
      <c r="B176" s="2" t="s">
        <v>44</v>
      </c>
      <c r="C176" s="2">
        <v>26</v>
      </c>
      <c r="D176" s="2">
        <v>5</v>
      </c>
      <c r="E176" s="2" t="s">
        <v>247</v>
      </c>
      <c r="F176" s="2" t="s">
        <v>426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</row>
    <row r="177" spans="1:28" x14ac:dyDescent="0.2">
      <c r="A177" s="2" t="s">
        <v>471</v>
      </c>
      <c r="B177" s="2" t="s">
        <v>44</v>
      </c>
      <c r="C177" s="2">
        <v>29</v>
      </c>
      <c r="D177" s="2">
        <v>6</v>
      </c>
      <c r="E177" s="2" t="s">
        <v>65</v>
      </c>
      <c r="F177" s="2" t="s">
        <v>426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</row>
    <row r="178" spans="1:28" x14ac:dyDescent="0.2">
      <c r="A178" s="2" t="s">
        <v>472</v>
      </c>
      <c r="B178" s="2" t="s">
        <v>39</v>
      </c>
      <c r="C178" s="2">
        <v>25</v>
      </c>
      <c r="D178" s="2">
        <v>4</v>
      </c>
      <c r="E178" s="2" t="s">
        <v>473</v>
      </c>
      <c r="F178" s="2" t="s">
        <v>426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</row>
    <row r="179" spans="1:28" x14ac:dyDescent="0.2">
      <c r="A179" s="2" t="s">
        <v>474</v>
      </c>
      <c r="B179" s="2" t="s">
        <v>39</v>
      </c>
      <c r="C179" s="2">
        <v>27</v>
      </c>
      <c r="D179" s="2">
        <v>2</v>
      </c>
      <c r="E179" s="2" t="s">
        <v>340</v>
      </c>
      <c r="F179" s="2" t="s">
        <v>426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</row>
    <row r="180" spans="1:28" x14ac:dyDescent="0.2">
      <c r="A180" s="2" t="s">
        <v>475</v>
      </c>
      <c r="B180" s="2" t="s">
        <v>39</v>
      </c>
      <c r="C180" s="2">
        <v>28</v>
      </c>
      <c r="D180" s="2">
        <v>4</v>
      </c>
      <c r="E180" s="2" t="s">
        <v>476</v>
      </c>
      <c r="F180" s="2" t="s">
        <v>426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</v>
      </c>
    </row>
    <row r="181" spans="1:28" x14ac:dyDescent="0.2">
      <c r="A181" s="2" t="s">
        <v>477</v>
      </c>
      <c r="B181" s="2" t="s">
        <v>39</v>
      </c>
      <c r="C181" s="2">
        <v>27</v>
      </c>
      <c r="D181" s="2">
        <v>5</v>
      </c>
      <c r="E181" s="2" t="s">
        <v>85</v>
      </c>
      <c r="F181" s="2" t="s">
        <v>426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</row>
    <row r="182" spans="1:28" x14ac:dyDescent="0.2">
      <c r="A182" s="2" t="s">
        <v>478</v>
      </c>
      <c r="B182" s="2" t="s">
        <v>39</v>
      </c>
      <c r="C182" s="2">
        <v>24</v>
      </c>
      <c r="D182" s="2">
        <v>5</v>
      </c>
      <c r="E182" s="2" t="s">
        <v>153</v>
      </c>
      <c r="F182" s="2" t="s">
        <v>426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</row>
    <row r="183" spans="1:28" x14ac:dyDescent="0.2">
      <c r="A183" s="2" t="s">
        <v>497</v>
      </c>
      <c r="B183" s="2" t="s">
        <v>27</v>
      </c>
      <c r="C183" s="2">
        <v>28</v>
      </c>
      <c r="D183" s="2">
        <v>7</v>
      </c>
      <c r="E183" s="2" t="s">
        <v>141</v>
      </c>
      <c r="F183" s="2" t="s">
        <v>481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</row>
    <row r="184" spans="1:28" x14ac:dyDescent="0.2">
      <c r="A184" s="2" t="s">
        <v>498</v>
      </c>
      <c r="B184" s="2" t="s">
        <v>27</v>
      </c>
      <c r="C184" s="2">
        <v>24</v>
      </c>
      <c r="D184" s="2">
        <v>3</v>
      </c>
      <c r="E184" s="2" t="s">
        <v>454</v>
      </c>
      <c r="F184" s="2" t="s">
        <v>481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</row>
    <row r="185" spans="1:28" x14ac:dyDescent="0.2">
      <c r="A185" s="2" t="s">
        <v>499</v>
      </c>
      <c r="B185" s="2" t="s">
        <v>27</v>
      </c>
      <c r="C185" s="2">
        <v>23</v>
      </c>
      <c r="D185" s="2">
        <v>0</v>
      </c>
      <c r="E185" s="2" t="s">
        <v>473</v>
      </c>
      <c r="F185" s="2" t="s">
        <v>481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</row>
    <row r="186" spans="1:28" x14ac:dyDescent="0.2">
      <c r="A186" s="2" t="s">
        <v>500</v>
      </c>
      <c r="B186" s="2" t="s">
        <v>27</v>
      </c>
      <c r="C186" s="2">
        <v>27</v>
      </c>
      <c r="D186" s="2">
        <v>7</v>
      </c>
      <c r="E186" s="2" t="s">
        <v>460</v>
      </c>
      <c r="F186" s="2" t="s">
        <v>481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</row>
    <row r="187" spans="1:28" x14ac:dyDescent="0.2">
      <c r="A187" s="2" t="s">
        <v>501</v>
      </c>
      <c r="B187" s="2" t="s">
        <v>32</v>
      </c>
      <c r="C187" s="2">
        <v>27</v>
      </c>
      <c r="D187" s="2">
        <v>6</v>
      </c>
      <c r="E187" s="2" t="s">
        <v>171</v>
      </c>
      <c r="F187" s="2" t="s">
        <v>481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</row>
    <row r="188" spans="1:28" x14ac:dyDescent="0.2">
      <c r="A188" s="2" t="s">
        <v>502</v>
      </c>
      <c r="B188" s="2" t="s">
        <v>32</v>
      </c>
      <c r="C188" s="2">
        <v>24</v>
      </c>
      <c r="D188" s="2">
        <v>3</v>
      </c>
      <c r="E188" s="2" t="s">
        <v>473</v>
      </c>
      <c r="F188" s="2" t="s">
        <v>481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</row>
    <row r="189" spans="1:28" x14ac:dyDescent="0.2">
      <c r="A189" s="2" t="s">
        <v>503</v>
      </c>
      <c r="B189" s="2" t="s">
        <v>32</v>
      </c>
      <c r="C189" s="2">
        <v>23</v>
      </c>
      <c r="D189" s="2">
        <v>2</v>
      </c>
      <c r="E189" s="2" t="s">
        <v>133</v>
      </c>
      <c r="F189" s="2" t="s">
        <v>481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</row>
    <row r="190" spans="1:28" x14ac:dyDescent="0.2">
      <c r="A190" s="2" t="s">
        <v>504</v>
      </c>
      <c r="B190" s="2" t="s">
        <v>32</v>
      </c>
      <c r="C190" s="2">
        <v>22</v>
      </c>
      <c r="D190" s="2">
        <v>0</v>
      </c>
      <c r="E190" s="2" t="s">
        <v>457</v>
      </c>
      <c r="F190" s="2" t="s">
        <v>481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</row>
    <row r="191" spans="1:28" x14ac:dyDescent="0.2">
      <c r="A191" s="2" t="s">
        <v>505</v>
      </c>
      <c r="B191" s="2" t="s">
        <v>32</v>
      </c>
      <c r="C191" s="2">
        <v>26</v>
      </c>
      <c r="D191" s="2">
        <v>2</v>
      </c>
      <c r="E191" s="2" t="s">
        <v>141</v>
      </c>
      <c r="F191" s="2" t="s">
        <v>481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</row>
    <row r="192" spans="1:28" x14ac:dyDescent="0.2">
      <c r="A192" s="2" t="s">
        <v>506</v>
      </c>
      <c r="B192" s="2" t="s">
        <v>32</v>
      </c>
      <c r="C192" s="2">
        <v>24</v>
      </c>
      <c r="D192" s="2">
        <v>1</v>
      </c>
      <c r="E192" s="2" t="s">
        <v>507</v>
      </c>
      <c r="F192" s="2" t="s">
        <v>481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</row>
    <row r="193" spans="1:28" x14ac:dyDescent="0.2">
      <c r="A193" s="2" t="s">
        <v>508</v>
      </c>
      <c r="B193" s="2" t="s">
        <v>44</v>
      </c>
      <c r="C193" s="2">
        <v>23</v>
      </c>
      <c r="D193" s="2">
        <v>1</v>
      </c>
      <c r="E193" s="2" t="s">
        <v>100</v>
      </c>
      <c r="F193" s="2" t="s">
        <v>481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</row>
    <row r="194" spans="1:28" x14ac:dyDescent="0.2">
      <c r="A194" s="2" t="s">
        <v>509</v>
      </c>
      <c r="B194" s="2" t="s">
        <v>44</v>
      </c>
      <c r="C194" s="2">
        <v>22</v>
      </c>
      <c r="D194" s="2">
        <v>2</v>
      </c>
      <c r="E194" s="2" t="s">
        <v>63</v>
      </c>
      <c r="F194" s="2" t="s">
        <v>481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</row>
    <row r="195" spans="1:28" x14ac:dyDescent="0.2">
      <c r="A195" s="2" t="s">
        <v>510</v>
      </c>
      <c r="B195" s="2" t="s">
        <v>44</v>
      </c>
      <c r="C195" s="2">
        <v>29</v>
      </c>
      <c r="D195" s="2">
        <v>9</v>
      </c>
      <c r="E195" s="2" t="s">
        <v>153</v>
      </c>
      <c r="F195" s="2" t="s">
        <v>481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</row>
    <row r="196" spans="1:28" x14ac:dyDescent="0.2">
      <c r="A196" s="2" t="s">
        <v>511</v>
      </c>
      <c r="B196" s="2" t="s">
        <v>44</v>
      </c>
      <c r="C196" s="2">
        <v>24</v>
      </c>
      <c r="D196" s="2">
        <v>3</v>
      </c>
      <c r="E196" s="2" t="s">
        <v>512</v>
      </c>
      <c r="F196" s="2" t="s">
        <v>481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</row>
    <row r="197" spans="1:28" x14ac:dyDescent="0.2">
      <c r="A197" s="2" t="s">
        <v>513</v>
      </c>
      <c r="B197" s="2" t="s">
        <v>44</v>
      </c>
      <c r="C197" s="2">
        <v>32</v>
      </c>
      <c r="D197" s="2">
        <v>10</v>
      </c>
      <c r="E197" s="2" t="s">
        <v>67</v>
      </c>
      <c r="F197" s="2" t="s">
        <v>481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</row>
    <row r="198" spans="1:28" x14ac:dyDescent="0.2">
      <c r="A198" s="2" t="s">
        <v>514</v>
      </c>
      <c r="B198" s="2" t="s">
        <v>44</v>
      </c>
      <c r="C198" s="2">
        <v>30</v>
      </c>
      <c r="D198" s="2">
        <v>8</v>
      </c>
      <c r="E198" s="2" t="s">
        <v>515</v>
      </c>
      <c r="F198" s="2" t="s">
        <v>481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</row>
    <row r="199" spans="1:28" x14ac:dyDescent="0.2">
      <c r="A199" s="2" t="s">
        <v>516</v>
      </c>
      <c r="B199" s="2" t="s">
        <v>44</v>
      </c>
      <c r="C199" s="2">
        <v>25</v>
      </c>
      <c r="D199" s="2">
        <v>1</v>
      </c>
      <c r="E199" s="2" t="s">
        <v>398</v>
      </c>
      <c r="F199" s="2" t="s">
        <v>481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</row>
    <row r="200" spans="1:28" x14ac:dyDescent="0.2">
      <c r="A200" s="2" t="s">
        <v>517</v>
      </c>
      <c r="B200" s="2" t="s">
        <v>44</v>
      </c>
      <c r="C200" s="2">
        <v>25</v>
      </c>
      <c r="D200" s="2">
        <v>1</v>
      </c>
      <c r="E200" s="2" t="s">
        <v>412</v>
      </c>
      <c r="F200" s="2" t="s">
        <v>481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</row>
    <row r="201" spans="1:28" x14ac:dyDescent="0.2">
      <c r="A201" s="2" t="s">
        <v>518</v>
      </c>
      <c r="B201" s="2" t="s">
        <v>44</v>
      </c>
      <c r="C201" s="2">
        <v>23</v>
      </c>
      <c r="D201" s="2">
        <v>3</v>
      </c>
      <c r="E201" s="2" t="s">
        <v>239</v>
      </c>
      <c r="F201" s="2" t="s">
        <v>481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</row>
    <row r="202" spans="1:28" x14ac:dyDescent="0.2">
      <c r="A202" s="2" t="s">
        <v>519</v>
      </c>
      <c r="B202" s="2" t="s">
        <v>44</v>
      </c>
      <c r="C202" s="2">
        <v>24</v>
      </c>
      <c r="D202" s="2">
        <v>4</v>
      </c>
      <c r="E202" s="2" t="s">
        <v>100</v>
      </c>
      <c r="F202" s="2" t="s">
        <v>481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</row>
    <row r="203" spans="1:28" x14ac:dyDescent="0.2">
      <c r="A203" s="2" t="s">
        <v>520</v>
      </c>
      <c r="B203" s="2" t="s">
        <v>44</v>
      </c>
      <c r="C203" s="2">
        <v>22</v>
      </c>
      <c r="D203" s="2">
        <v>3</v>
      </c>
      <c r="E203" s="2" t="s">
        <v>466</v>
      </c>
      <c r="F203" s="2" t="s">
        <v>481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</row>
    <row r="204" spans="1:28" x14ac:dyDescent="0.2">
      <c r="A204" s="2" t="s">
        <v>521</v>
      </c>
      <c r="B204" s="2" t="s">
        <v>44</v>
      </c>
      <c r="C204" s="2">
        <v>23</v>
      </c>
      <c r="D204" s="2">
        <v>0</v>
      </c>
      <c r="E204" s="2" t="s">
        <v>141</v>
      </c>
      <c r="F204" s="2" t="s">
        <v>481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</row>
    <row r="205" spans="1:28" x14ac:dyDescent="0.2">
      <c r="A205" s="2" t="s">
        <v>522</v>
      </c>
      <c r="B205" s="2" t="s">
        <v>44</v>
      </c>
      <c r="C205" s="2">
        <v>23</v>
      </c>
      <c r="D205" s="2">
        <v>2</v>
      </c>
      <c r="E205" s="2" t="s">
        <v>69</v>
      </c>
      <c r="F205" s="2" t="s">
        <v>481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</row>
    <row r="206" spans="1:28" x14ac:dyDescent="0.2">
      <c r="A206" s="2" t="s">
        <v>523</v>
      </c>
      <c r="B206" s="2" t="s">
        <v>39</v>
      </c>
      <c r="C206" s="2">
        <v>31</v>
      </c>
      <c r="D206" s="2">
        <v>6</v>
      </c>
      <c r="E206" s="2" t="s">
        <v>281</v>
      </c>
      <c r="F206" s="2" t="s">
        <v>481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</row>
    <row r="207" spans="1:28" x14ac:dyDescent="0.2">
      <c r="A207" s="2" t="s">
        <v>524</v>
      </c>
      <c r="B207" s="2" t="s">
        <v>39</v>
      </c>
      <c r="C207" s="2">
        <v>25</v>
      </c>
      <c r="D207" s="2">
        <v>4</v>
      </c>
      <c r="E207" s="2" t="s">
        <v>525</v>
      </c>
      <c r="F207" s="2" t="s">
        <v>481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</row>
    <row r="208" spans="1:28" x14ac:dyDescent="0.2">
      <c r="A208" s="2" t="s">
        <v>526</v>
      </c>
      <c r="B208" s="2" t="s">
        <v>39</v>
      </c>
      <c r="C208" s="2">
        <v>24</v>
      </c>
      <c r="D208" s="2">
        <v>0</v>
      </c>
      <c r="E208" s="2" t="s">
        <v>527</v>
      </c>
      <c r="F208" s="2" t="s">
        <v>481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</row>
    <row r="209" spans="1:28" x14ac:dyDescent="0.2">
      <c r="A209" s="2" t="s">
        <v>528</v>
      </c>
      <c r="B209" s="2" t="s">
        <v>39</v>
      </c>
      <c r="C209" s="2">
        <v>23</v>
      </c>
      <c r="D209" s="2">
        <v>1</v>
      </c>
      <c r="E209" s="2" t="s">
        <v>525</v>
      </c>
      <c r="F209" s="2" t="s">
        <v>481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</row>
    <row r="210" spans="1:28" x14ac:dyDescent="0.2">
      <c r="A210" s="2" t="s">
        <v>548</v>
      </c>
      <c r="B210" s="2" t="s">
        <v>27</v>
      </c>
      <c r="C210" s="2">
        <v>28</v>
      </c>
      <c r="D210" s="2">
        <v>5</v>
      </c>
      <c r="E210" s="2" t="s">
        <v>345</v>
      </c>
      <c r="F210" s="2" t="s">
        <v>531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</row>
    <row r="211" spans="1:28" x14ac:dyDescent="0.2">
      <c r="A211" s="2" t="s">
        <v>549</v>
      </c>
      <c r="B211" s="2" t="s">
        <v>27</v>
      </c>
      <c r="C211" s="2">
        <v>29</v>
      </c>
      <c r="D211" s="2">
        <v>8</v>
      </c>
      <c r="E211" s="2" t="s">
        <v>550</v>
      </c>
      <c r="F211" s="2" t="s">
        <v>531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</row>
    <row r="212" spans="1:28" x14ac:dyDescent="0.2">
      <c r="A212" s="2" t="s">
        <v>551</v>
      </c>
      <c r="B212" s="2" t="s">
        <v>27</v>
      </c>
      <c r="C212" s="2">
        <v>29</v>
      </c>
      <c r="D212" s="2">
        <v>6</v>
      </c>
      <c r="E212" s="2" t="s">
        <v>309</v>
      </c>
      <c r="F212" s="2" t="s">
        <v>531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</row>
    <row r="213" spans="1:28" x14ac:dyDescent="0.2">
      <c r="A213" s="2" t="s">
        <v>552</v>
      </c>
      <c r="B213" s="2" t="s">
        <v>32</v>
      </c>
      <c r="C213" s="2">
        <v>24</v>
      </c>
      <c r="D213" s="2">
        <v>2</v>
      </c>
      <c r="E213" s="2" t="s">
        <v>176</v>
      </c>
      <c r="F213" s="2" t="s">
        <v>531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</row>
    <row r="214" spans="1:28" x14ac:dyDescent="0.2">
      <c r="A214" s="2" t="s">
        <v>553</v>
      </c>
      <c r="B214" s="2" t="s">
        <v>32</v>
      </c>
      <c r="C214" s="2">
        <v>25</v>
      </c>
      <c r="D214" s="2">
        <v>4</v>
      </c>
      <c r="E214" s="2" t="s">
        <v>342</v>
      </c>
      <c r="F214" s="2" t="s">
        <v>531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</row>
    <row r="215" spans="1:28" x14ac:dyDescent="0.2">
      <c r="A215" s="2" t="s">
        <v>554</v>
      </c>
      <c r="B215" s="2" t="s">
        <v>32</v>
      </c>
      <c r="C215" s="2">
        <v>25</v>
      </c>
      <c r="D215" s="2">
        <v>6</v>
      </c>
      <c r="E215" s="2" t="s">
        <v>79</v>
      </c>
      <c r="F215" s="2" t="s">
        <v>531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</row>
    <row r="216" spans="1:28" x14ac:dyDescent="0.2">
      <c r="A216" s="2" t="s">
        <v>555</v>
      </c>
      <c r="B216" s="2" t="s">
        <v>32</v>
      </c>
      <c r="C216" s="2">
        <v>23</v>
      </c>
      <c r="D216" s="2">
        <v>0</v>
      </c>
      <c r="E216" s="2" t="s">
        <v>556</v>
      </c>
      <c r="F216" s="2" t="s">
        <v>531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</row>
    <row r="217" spans="1:28" x14ac:dyDescent="0.2">
      <c r="A217" s="2" t="s">
        <v>557</v>
      </c>
      <c r="B217" s="2" t="s">
        <v>32</v>
      </c>
      <c r="C217" s="2">
        <v>26</v>
      </c>
      <c r="D217" s="2">
        <v>5</v>
      </c>
      <c r="E217" s="2" t="s">
        <v>558</v>
      </c>
      <c r="F217" s="2" t="s">
        <v>531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</row>
    <row r="218" spans="1:28" x14ac:dyDescent="0.2">
      <c r="A218" s="2" t="s">
        <v>559</v>
      </c>
      <c r="B218" s="2" t="s">
        <v>32</v>
      </c>
      <c r="C218" s="2">
        <v>21</v>
      </c>
      <c r="D218" s="2">
        <v>0</v>
      </c>
      <c r="E218" s="2" t="s">
        <v>560</v>
      </c>
      <c r="F218" s="2" t="s">
        <v>531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</row>
    <row r="219" spans="1:28" x14ac:dyDescent="0.2">
      <c r="A219" s="2" t="s">
        <v>561</v>
      </c>
      <c r="B219" s="2" t="s">
        <v>44</v>
      </c>
      <c r="C219" s="2">
        <v>23</v>
      </c>
      <c r="D219" s="2">
        <v>0</v>
      </c>
      <c r="E219" s="2" t="s">
        <v>392</v>
      </c>
      <c r="F219" s="2" t="s">
        <v>531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</row>
    <row r="220" spans="1:28" x14ac:dyDescent="0.2">
      <c r="A220" s="2" t="s">
        <v>562</v>
      </c>
      <c r="B220" s="2" t="s">
        <v>44</v>
      </c>
      <c r="C220" s="2">
        <v>23</v>
      </c>
      <c r="D220" s="2">
        <v>0</v>
      </c>
      <c r="E220" s="2" t="s">
        <v>342</v>
      </c>
      <c r="F220" s="2" t="s">
        <v>531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</row>
    <row r="221" spans="1:28" x14ac:dyDescent="0.2">
      <c r="A221" s="2" t="s">
        <v>563</v>
      </c>
      <c r="B221" s="2" t="s">
        <v>44</v>
      </c>
      <c r="C221" s="2">
        <v>29</v>
      </c>
      <c r="D221" s="2">
        <v>10</v>
      </c>
      <c r="E221" s="2" t="s">
        <v>108</v>
      </c>
      <c r="F221" s="2" t="s">
        <v>531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</row>
    <row r="222" spans="1:28" x14ac:dyDescent="0.2">
      <c r="A222" s="2" t="s">
        <v>564</v>
      </c>
      <c r="B222" s="2" t="s">
        <v>44</v>
      </c>
      <c r="C222" s="2">
        <v>25</v>
      </c>
      <c r="D222" s="2">
        <v>1</v>
      </c>
      <c r="E222" s="2" t="s">
        <v>239</v>
      </c>
      <c r="F222" s="2" t="s">
        <v>531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</row>
    <row r="223" spans="1:28" x14ac:dyDescent="0.2">
      <c r="A223" s="2" t="s">
        <v>565</v>
      </c>
      <c r="B223" s="2" t="s">
        <v>44</v>
      </c>
      <c r="C223" s="2">
        <v>24</v>
      </c>
      <c r="D223" s="2">
        <v>0</v>
      </c>
      <c r="E223" s="2" t="s">
        <v>566</v>
      </c>
      <c r="F223" s="2" t="s">
        <v>531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</row>
    <row r="224" spans="1:28" x14ac:dyDescent="0.2">
      <c r="A224" s="2" t="s">
        <v>567</v>
      </c>
      <c r="B224" s="2" t="s">
        <v>44</v>
      </c>
      <c r="C224" s="2">
        <v>25</v>
      </c>
      <c r="D224" s="2">
        <v>3</v>
      </c>
      <c r="E224" s="2" t="s">
        <v>97</v>
      </c>
      <c r="F224" s="2" t="s">
        <v>531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</row>
    <row r="225" spans="1:28" x14ac:dyDescent="0.2">
      <c r="A225" s="2" t="s">
        <v>568</v>
      </c>
      <c r="B225" s="2" t="s">
        <v>44</v>
      </c>
      <c r="C225" s="2">
        <v>27</v>
      </c>
      <c r="D225" s="2">
        <v>6</v>
      </c>
      <c r="E225" s="2" t="s">
        <v>102</v>
      </c>
      <c r="F225" s="2" t="s">
        <v>531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</row>
    <row r="226" spans="1:28" x14ac:dyDescent="0.2">
      <c r="A226" s="2" t="s">
        <v>569</v>
      </c>
      <c r="B226" s="2" t="s">
        <v>44</v>
      </c>
      <c r="C226" s="2">
        <v>24</v>
      </c>
      <c r="D226" s="2">
        <v>1</v>
      </c>
      <c r="E226" s="2" t="s">
        <v>570</v>
      </c>
      <c r="F226" s="2" t="s">
        <v>531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</row>
    <row r="227" spans="1:28" x14ac:dyDescent="0.2">
      <c r="A227" s="2" t="s">
        <v>571</v>
      </c>
      <c r="B227" s="2" t="s">
        <v>44</v>
      </c>
      <c r="C227" s="2">
        <v>27</v>
      </c>
      <c r="D227" s="2">
        <v>4</v>
      </c>
      <c r="E227" s="2" t="s">
        <v>213</v>
      </c>
      <c r="F227" s="2" t="s">
        <v>531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</row>
    <row r="228" spans="1:28" x14ac:dyDescent="0.2">
      <c r="A228" s="2" t="s">
        <v>572</v>
      </c>
      <c r="B228" s="2" t="s">
        <v>44</v>
      </c>
      <c r="C228" s="2">
        <v>24</v>
      </c>
      <c r="D228" s="2">
        <v>4</v>
      </c>
      <c r="E228" s="2" t="s">
        <v>69</v>
      </c>
      <c r="F228" s="2" t="s">
        <v>531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</row>
    <row r="229" spans="1:28" x14ac:dyDescent="0.2">
      <c r="A229" s="2" t="s">
        <v>573</v>
      </c>
      <c r="B229" s="2" t="s">
        <v>44</v>
      </c>
      <c r="C229" s="2">
        <v>22</v>
      </c>
      <c r="D229" s="2">
        <v>0</v>
      </c>
      <c r="E229" s="2" t="s">
        <v>279</v>
      </c>
      <c r="F229" s="2" t="s">
        <v>531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</row>
    <row r="230" spans="1:28" x14ac:dyDescent="0.2">
      <c r="A230" s="2" t="s">
        <v>574</v>
      </c>
      <c r="B230" s="2" t="s">
        <v>44</v>
      </c>
      <c r="C230" s="2">
        <v>23</v>
      </c>
      <c r="D230" s="2">
        <v>0</v>
      </c>
      <c r="E230" s="2" t="s">
        <v>575</v>
      </c>
      <c r="F230" s="2" t="s">
        <v>531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</row>
    <row r="231" spans="1:28" x14ac:dyDescent="0.2">
      <c r="A231" s="2" t="s">
        <v>576</v>
      </c>
      <c r="B231" s="2" t="s">
        <v>44</v>
      </c>
      <c r="C231" s="2">
        <v>24</v>
      </c>
      <c r="D231" s="2">
        <v>2</v>
      </c>
      <c r="E231" s="2" t="s">
        <v>300</v>
      </c>
      <c r="F231" s="2" t="s">
        <v>531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</row>
    <row r="232" spans="1:28" x14ac:dyDescent="0.2">
      <c r="A232" s="2" t="s">
        <v>577</v>
      </c>
      <c r="B232" s="2" t="s">
        <v>44</v>
      </c>
      <c r="C232" s="2">
        <v>26</v>
      </c>
      <c r="D232" s="2">
        <v>2</v>
      </c>
      <c r="E232" s="2" t="s">
        <v>77</v>
      </c>
      <c r="F232" s="2" t="s">
        <v>531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</row>
    <row r="233" spans="1:28" x14ac:dyDescent="0.2">
      <c r="A233" s="2" t="s">
        <v>578</v>
      </c>
      <c r="B233" s="2" t="s">
        <v>39</v>
      </c>
      <c r="C233" s="2">
        <v>24</v>
      </c>
      <c r="D233" s="2">
        <v>0</v>
      </c>
      <c r="E233" s="2" t="s">
        <v>141</v>
      </c>
      <c r="F233" s="2" t="s">
        <v>531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</row>
    <row r="234" spans="1:28" x14ac:dyDescent="0.2">
      <c r="A234" s="2" t="s">
        <v>579</v>
      </c>
      <c r="B234" s="2" t="s">
        <v>39</v>
      </c>
      <c r="C234" s="2">
        <v>24</v>
      </c>
      <c r="D234" s="2">
        <v>2</v>
      </c>
      <c r="E234" s="2" t="s">
        <v>73</v>
      </c>
      <c r="F234" s="2" t="s">
        <v>531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</row>
    <row r="235" spans="1:28" x14ac:dyDescent="0.2">
      <c r="A235" s="2" t="s">
        <v>580</v>
      </c>
      <c r="B235" s="2" t="s">
        <v>39</v>
      </c>
      <c r="C235" s="2">
        <v>25</v>
      </c>
      <c r="D235" s="2">
        <v>1</v>
      </c>
      <c r="E235" s="2" t="s">
        <v>71</v>
      </c>
      <c r="F235" s="2" t="s">
        <v>531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</row>
    <row r="236" spans="1:28" x14ac:dyDescent="0.2">
      <c r="A236" s="2" t="s">
        <v>581</v>
      </c>
      <c r="B236" s="2" t="s">
        <v>39</v>
      </c>
      <c r="C236" s="2">
        <v>24</v>
      </c>
      <c r="D236" s="2">
        <v>2</v>
      </c>
      <c r="E236" s="2" t="s">
        <v>361</v>
      </c>
      <c r="F236" s="2" t="s">
        <v>531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</row>
    <row r="237" spans="1:28" x14ac:dyDescent="0.2">
      <c r="A237" s="2" t="s">
        <v>582</v>
      </c>
      <c r="B237" s="2" t="s">
        <v>39</v>
      </c>
      <c r="C237" s="2">
        <v>25</v>
      </c>
      <c r="D237" s="2">
        <v>4</v>
      </c>
      <c r="E237" s="2" t="s">
        <v>100</v>
      </c>
      <c r="F237" s="2" t="s">
        <v>531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</row>
    <row r="238" spans="1:28" x14ac:dyDescent="0.2">
      <c r="A238" s="2" t="s">
        <v>609</v>
      </c>
      <c r="B238" s="2" t="s">
        <v>27</v>
      </c>
      <c r="C238" s="2">
        <v>26</v>
      </c>
      <c r="D238" s="2">
        <v>2</v>
      </c>
      <c r="E238" s="2" t="s">
        <v>610</v>
      </c>
      <c r="F238" s="2" t="s">
        <v>585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</row>
    <row r="239" spans="1:28" x14ac:dyDescent="0.2">
      <c r="A239" s="2" t="s">
        <v>611</v>
      </c>
      <c r="B239" s="2" t="s">
        <v>27</v>
      </c>
      <c r="C239" s="2">
        <v>25</v>
      </c>
      <c r="D239" s="2">
        <v>1</v>
      </c>
      <c r="E239" s="2" t="s">
        <v>291</v>
      </c>
      <c r="F239" s="2" t="s">
        <v>585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</row>
    <row r="240" spans="1:28" x14ac:dyDescent="0.2">
      <c r="A240" s="2" t="s">
        <v>612</v>
      </c>
      <c r="B240" s="2" t="s">
        <v>27</v>
      </c>
      <c r="C240" s="2">
        <v>26</v>
      </c>
      <c r="D240" s="2">
        <v>4</v>
      </c>
      <c r="E240" s="2" t="s">
        <v>466</v>
      </c>
      <c r="F240" s="2" t="s">
        <v>585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</row>
    <row r="241" spans="1:28" x14ac:dyDescent="0.2">
      <c r="A241" s="2" t="s">
        <v>613</v>
      </c>
      <c r="B241" s="2" t="s">
        <v>27</v>
      </c>
      <c r="C241" s="2">
        <v>34</v>
      </c>
      <c r="D241" s="2">
        <v>12</v>
      </c>
      <c r="E241" s="2" t="s">
        <v>73</v>
      </c>
      <c r="F241" s="2" t="s">
        <v>585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</row>
    <row r="242" spans="1:28" x14ac:dyDescent="0.2">
      <c r="A242" s="2" t="s">
        <v>614</v>
      </c>
      <c r="B242" s="2" t="s">
        <v>32</v>
      </c>
      <c r="C242" s="2">
        <v>23</v>
      </c>
      <c r="D242" s="2">
        <v>1</v>
      </c>
      <c r="E242" s="2" t="s">
        <v>615</v>
      </c>
      <c r="F242" s="2" t="s">
        <v>585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</row>
    <row r="243" spans="1:28" x14ac:dyDescent="0.2">
      <c r="A243" s="2" t="s">
        <v>616</v>
      </c>
      <c r="B243" s="2" t="s">
        <v>32</v>
      </c>
      <c r="C243" s="2">
        <v>25</v>
      </c>
      <c r="D243" s="2">
        <v>3</v>
      </c>
      <c r="E243" s="2" t="s">
        <v>363</v>
      </c>
      <c r="F243" s="2" t="s">
        <v>585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</row>
    <row r="244" spans="1:28" x14ac:dyDescent="0.2">
      <c r="A244" s="2" t="s">
        <v>617</v>
      </c>
      <c r="B244" s="2" t="s">
        <v>32</v>
      </c>
      <c r="C244" s="2">
        <v>22</v>
      </c>
      <c r="D244" s="2">
        <v>0</v>
      </c>
      <c r="E244" s="2" t="s">
        <v>618</v>
      </c>
      <c r="F244" s="2" t="s">
        <v>585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</row>
    <row r="245" spans="1:28" x14ac:dyDescent="0.2">
      <c r="A245" s="2" t="s">
        <v>619</v>
      </c>
      <c r="B245" s="2" t="s">
        <v>32</v>
      </c>
      <c r="C245" s="2">
        <v>27</v>
      </c>
      <c r="D245" s="2">
        <v>7</v>
      </c>
      <c r="E245" s="2" t="s">
        <v>69</v>
      </c>
      <c r="F245" s="2" t="s">
        <v>585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</row>
    <row r="246" spans="1:28" x14ac:dyDescent="0.2">
      <c r="A246" s="2" t="s">
        <v>620</v>
      </c>
      <c r="B246" s="2" t="s">
        <v>32</v>
      </c>
      <c r="C246" s="2">
        <v>23</v>
      </c>
      <c r="D246" s="2">
        <v>3</v>
      </c>
      <c r="E246" s="2" t="s">
        <v>163</v>
      </c>
      <c r="F246" s="2" t="s">
        <v>585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</row>
    <row r="247" spans="1:28" x14ac:dyDescent="0.2">
      <c r="A247" s="2" t="s">
        <v>621</v>
      </c>
      <c r="B247" s="2" t="s">
        <v>44</v>
      </c>
      <c r="C247" s="2">
        <v>25</v>
      </c>
      <c r="D247" s="2">
        <v>4</v>
      </c>
      <c r="E247" s="2" t="s">
        <v>141</v>
      </c>
      <c r="F247" s="2" t="s">
        <v>585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</row>
    <row r="248" spans="1:28" x14ac:dyDescent="0.2">
      <c r="A248" s="2" t="s">
        <v>622</v>
      </c>
      <c r="B248" s="2" t="s">
        <v>44</v>
      </c>
      <c r="C248" s="2">
        <v>23</v>
      </c>
      <c r="D248" s="2">
        <v>0</v>
      </c>
      <c r="E248" s="2" t="s">
        <v>623</v>
      </c>
      <c r="F248" s="2" t="s">
        <v>585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</row>
    <row r="249" spans="1:28" x14ac:dyDescent="0.2">
      <c r="A249" s="2" t="s">
        <v>624</v>
      </c>
      <c r="B249" s="2" t="s">
        <v>44</v>
      </c>
      <c r="C249" s="2">
        <v>24</v>
      </c>
      <c r="D249" s="2">
        <v>4</v>
      </c>
      <c r="E249" s="2" t="s">
        <v>340</v>
      </c>
      <c r="F249" s="2" t="s">
        <v>585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</row>
    <row r="250" spans="1:28" x14ac:dyDescent="0.2">
      <c r="A250" s="2" t="s">
        <v>625</v>
      </c>
      <c r="B250" s="2" t="s">
        <v>44</v>
      </c>
      <c r="C250" s="2">
        <v>26</v>
      </c>
      <c r="D250" s="2">
        <v>3</v>
      </c>
      <c r="E250" s="2" t="s">
        <v>90</v>
      </c>
      <c r="F250" s="2" t="s">
        <v>585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</row>
    <row r="251" spans="1:28" x14ac:dyDescent="0.2">
      <c r="A251" s="2" t="s">
        <v>626</v>
      </c>
      <c r="B251" s="2" t="s">
        <v>44</v>
      </c>
      <c r="C251" s="2">
        <v>25</v>
      </c>
      <c r="D251" s="2">
        <v>4</v>
      </c>
      <c r="E251" s="2" t="s">
        <v>67</v>
      </c>
      <c r="F251" s="2" t="s">
        <v>585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</row>
    <row r="252" spans="1:28" x14ac:dyDescent="0.2">
      <c r="A252" s="2" t="s">
        <v>627</v>
      </c>
      <c r="B252" s="2" t="s">
        <v>44</v>
      </c>
      <c r="C252" s="2">
        <v>24</v>
      </c>
      <c r="D252" s="2">
        <v>4</v>
      </c>
      <c r="E252" s="2" t="s">
        <v>153</v>
      </c>
      <c r="F252" s="2" t="s">
        <v>585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</row>
    <row r="253" spans="1:28" x14ac:dyDescent="0.2">
      <c r="A253" s="2" t="s">
        <v>628</v>
      </c>
      <c r="B253" s="2" t="s">
        <v>44</v>
      </c>
      <c r="C253" s="2">
        <v>24</v>
      </c>
      <c r="D253" s="2">
        <v>2</v>
      </c>
      <c r="E253" s="2" t="s">
        <v>281</v>
      </c>
      <c r="F253" s="2" t="s">
        <v>585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</row>
    <row r="254" spans="1:28" x14ac:dyDescent="0.2">
      <c r="A254" s="2" t="s">
        <v>629</v>
      </c>
      <c r="B254" s="2" t="s">
        <v>44</v>
      </c>
      <c r="C254" s="2">
        <v>21</v>
      </c>
      <c r="D254" s="2">
        <v>0</v>
      </c>
      <c r="E254" s="2" t="s">
        <v>69</v>
      </c>
      <c r="F254" s="2" t="s">
        <v>585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</row>
    <row r="255" spans="1:28" x14ac:dyDescent="0.2">
      <c r="A255" s="2" t="s">
        <v>630</v>
      </c>
      <c r="B255" s="2" t="s">
        <v>44</v>
      </c>
      <c r="C255" s="2">
        <v>29</v>
      </c>
      <c r="D255" s="2">
        <v>6</v>
      </c>
      <c r="E255" s="2" t="s">
        <v>203</v>
      </c>
      <c r="F255" s="2" t="s">
        <v>585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</row>
    <row r="256" spans="1:28" x14ac:dyDescent="0.2">
      <c r="A256" s="2" t="s">
        <v>631</v>
      </c>
      <c r="B256" s="2" t="s">
        <v>44</v>
      </c>
      <c r="C256" s="2">
        <v>27</v>
      </c>
      <c r="D256" s="2">
        <v>6</v>
      </c>
      <c r="E256" s="2" t="s">
        <v>234</v>
      </c>
      <c r="F256" s="2" t="s">
        <v>585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</row>
    <row r="257" spans="1:28" x14ac:dyDescent="0.2">
      <c r="A257" s="2" t="s">
        <v>632</v>
      </c>
      <c r="B257" s="2" t="s">
        <v>44</v>
      </c>
      <c r="C257" s="2">
        <v>25</v>
      </c>
      <c r="D257" s="2">
        <v>2</v>
      </c>
      <c r="E257" s="2" t="s">
        <v>338</v>
      </c>
      <c r="F257" s="2" t="s">
        <v>585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</row>
    <row r="258" spans="1:28" x14ac:dyDescent="0.2">
      <c r="A258" s="2" t="s">
        <v>633</v>
      </c>
      <c r="B258" s="2" t="s">
        <v>44</v>
      </c>
      <c r="C258" s="2">
        <v>24</v>
      </c>
      <c r="D258" s="2">
        <v>2</v>
      </c>
      <c r="E258" s="2" t="s">
        <v>634</v>
      </c>
      <c r="F258" s="2" t="s">
        <v>585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</row>
    <row r="259" spans="1:28" x14ac:dyDescent="0.2">
      <c r="A259" s="2" t="s">
        <v>635</v>
      </c>
      <c r="B259" s="2" t="s">
        <v>39</v>
      </c>
      <c r="C259" s="2">
        <v>24</v>
      </c>
      <c r="D259" s="2">
        <v>0</v>
      </c>
      <c r="E259" s="2" t="s">
        <v>342</v>
      </c>
      <c r="F259" s="2" t="s">
        <v>585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</row>
    <row r="260" spans="1:28" x14ac:dyDescent="0.2">
      <c r="A260" s="2" t="s">
        <v>636</v>
      </c>
      <c r="B260" s="2" t="s">
        <v>39</v>
      </c>
      <c r="C260" s="2">
        <v>23</v>
      </c>
      <c r="D260" s="2">
        <v>2</v>
      </c>
      <c r="E260" s="2" t="s">
        <v>473</v>
      </c>
      <c r="F260" s="2" t="s">
        <v>585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</row>
    <row r="261" spans="1:28" x14ac:dyDescent="0.2">
      <c r="A261" s="2" t="s">
        <v>637</v>
      </c>
      <c r="B261" s="2" t="s">
        <v>39</v>
      </c>
      <c r="C261" s="2">
        <v>26</v>
      </c>
      <c r="D261" s="2">
        <v>2</v>
      </c>
      <c r="E261" s="2" t="s">
        <v>155</v>
      </c>
      <c r="F261" s="2" t="s">
        <v>585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</row>
    <row r="262" spans="1:28" x14ac:dyDescent="0.2">
      <c r="A262" s="2" t="s">
        <v>638</v>
      </c>
      <c r="B262" s="2" t="s">
        <v>39</v>
      </c>
      <c r="C262" s="2">
        <v>31</v>
      </c>
      <c r="D262" s="2">
        <v>8</v>
      </c>
      <c r="E262" s="2" t="s">
        <v>639</v>
      </c>
      <c r="F262" s="2" t="s">
        <v>585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</row>
    <row r="263" spans="1:28" x14ac:dyDescent="0.2">
      <c r="A263" s="2" t="s">
        <v>640</v>
      </c>
      <c r="B263" s="2" t="s">
        <v>39</v>
      </c>
      <c r="C263" s="2">
        <v>25</v>
      </c>
      <c r="D263" s="2">
        <v>4</v>
      </c>
      <c r="E263" s="2" t="s">
        <v>615</v>
      </c>
      <c r="F263" s="2" t="s">
        <v>585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</row>
    <row r="264" spans="1:28" x14ac:dyDescent="0.2">
      <c r="A264" s="2" t="s">
        <v>661</v>
      </c>
      <c r="B264" s="2" t="s">
        <v>27</v>
      </c>
      <c r="C264" s="2">
        <v>28</v>
      </c>
      <c r="D264" s="2">
        <v>8</v>
      </c>
      <c r="E264" s="2" t="s">
        <v>422</v>
      </c>
      <c r="F264" s="2" t="s">
        <v>644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</row>
    <row r="265" spans="1:28" x14ac:dyDescent="0.2">
      <c r="A265" s="2" t="s">
        <v>662</v>
      </c>
      <c r="B265" s="2" t="s">
        <v>27</v>
      </c>
      <c r="C265" s="2">
        <v>25</v>
      </c>
      <c r="D265" s="2">
        <v>0</v>
      </c>
      <c r="E265" s="2" t="s">
        <v>141</v>
      </c>
      <c r="F265" s="2" t="s">
        <v>644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</row>
    <row r="266" spans="1:28" x14ac:dyDescent="0.2">
      <c r="A266" s="2" t="s">
        <v>663</v>
      </c>
      <c r="B266" s="2" t="s">
        <v>27</v>
      </c>
      <c r="C266" s="2">
        <v>23</v>
      </c>
      <c r="D266" s="2">
        <v>0</v>
      </c>
      <c r="E266" s="2" t="s">
        <v>560</v>
      </c>
      <c r="F266" s="2" t="s">
        <v>644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</row>
    <row r="267" spans="1:28" x14ac:dyDescent="0.2">
      <c r="A267" s="2" t="s">
        <v>664</v>
      </c>
      <c r="B267" s="2" t="s">
        <v>27</v>
      </c>
      <c r="C267" s="2">
        <v>29</v>
      </c>
      <c r="D267" s="2">
        <v>7</v>
      </c>
      <c r="E267" s="2" t="s">
        <v>361</v>
      </c>
      <c r="F267" s="2" t="s">
        <v>644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</row>
    <row r="268" spans="1:28" x14ac:dyDescent="0.2">
      <c r="A268" s="2" t="s">
        <v>665</v>
      </c>
      <c r="B268" s="2" t="s">
        <v>32</v>
      </c>
      <c r="C268" s="2">
        <v>25</v>
      </c>
      <c r="D268" s="2">
        <v>2</v>
      </c>
      <c r="E268" s="2" t="s">
        <v>666</v>
      </c>
      <c r="F268" s="2" t="s">
        <v>644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</row>
    <row r="269" spans="1:28" x14ac:dyDescent="0.2">
      <c r="A269" s="2" t="s">
        <v>667</v>
      </c>
      <c r="B269" s="2" t="s">
        <v>32</v>
      </c>
      <c r="C269" s="2">
        <v>21</v>
      </c>
      <c r="D269" s="2">
        <v>0</v>
      </c>
      <c r="E269" s="2" t="s">
        <v>153</v>
      </c>
      <c r="F269" s="2" t="s">
        <v>644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</row>
    <row r="270" spans="1:28" x14ac:dyDescent="0.2">
      <c r="A270" s="2" t="s">
        <v>668</v>
      </c>
      <c r="B270" s="2" t="s">
        <v>32</v>
      </c>
      <c r="C270" s="2">
        <v>23</v>
      </c>
      <c r="D270" s="2">
        <v>0</v>
      </c>
      <c r="E270" s="2" t="s">
        <v>220</v>
      </c>
      <c r="F270" s="2" t="s">
        <v>644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</row>
    <row r="271" spans="1:28" x14ac:dyDescent="0.2">
      <c r="A271" s="2" t="s">
        <v>669</v>
      </c>
      <c r="B271" s="2" t="s">
        <v>32</v>
      </c>
      <c r="C271" s="2">
        <v>23</v>
      </c>
      <c r="D271" s="2">
        <v>2</v>
      </c>
      <c r="E271" s="2" t="s">
        <v>108</v>
      </c>
      <c r="F271" s="2" t="s">
        <v>644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</row>
    <row r="272" spans="1:28" x14ac:dyDescent="0.2">
      <c r="A272" s="2" t="s">
        <v>670</v>
      </c>
      <c r="B272" s="2" t="s">
        <v>32</v>
      </c>
      <c r="C272" s="2">
        <v>26</v>
      </c>
      <c r="D272" s="2">
        <v>5</v>
      </c>
      <c r="E272" s="2" t="s">
        <v>243</v>
      </c>
      <c r="F272" s="2" t="s">
        <v>644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</row>
    <row r="273" spans="1:28" x14ac:dyDescent="0.2">
      <c r="A273" s="2" t="s">
        <v>671</v>
      </c>
      <c r="B273" s="2" t="s">
        <v>32</v>
      </c>
      <c r="C273" s="2">
        <v>27</v>
      </c>
      <c r="D273" s="2">
        <v>2</v>
      </c>
      <c r="E273" s="2" t="s">
        <v>672</v>
      </c>
      <c r="F273" s="2" t="s">
        <v>644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</row>
    <row r="274" spans="1:28" x14ac:dyDescent="0.2">
      <c r="A274" s="2" t="s">
        <v>673</v>
      </c>
      <c r="B274" s="2" t="s">
        <v>44</v>
      </c>
      <c r="C274" s="2">
        <v>26</v>
      </c>
      <c r="D274" s="2">
        <v>1</v>
      </c>
      <c r="E274" s="2" t="s">
        <v>178</v>
      </c>
      <c r="F274" s="2" t="s">
        <v>644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</row>
    <row r="275" spans="1:28" x14ac:dyDescent="0.2">
      <c r="A275" s="2" t="s">
        <v>674</v>
      </c>
      <c r="B275" s="2" t="s">
        <v>44</v>
      </c>
      <c r="C275" s="2">
        <v>26</v>
      </c>
      <c r="D275" s="2">
        <v>3</v>
      </c>
      <c r="E275" s="2" t="s">
        <v>675</v>
      </c>
      <c r="F275" s="2" t="s">
        <v>644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</row>
    <row r="276" spans="1:28" x14ac:dyDescent="0.2">
      <c r="A276" s="2" t="s">
        <v>676</v>
      </c>
      <c r="B276" s="2" t="s">
        <v>44</v>
      </c>
      <c r="C276" s="2">
        <v>23</v>
      </c>
      <c r="D276" s="2">
        <v>0</v>
      </c>
      <c r="E276" s="2" t="s">
        <v>201</v>
      </c>
      <c r="F276" s="2" t="s">
        <v>644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</row>
    <row r="277" spans="1:28" x14ac:dyDescent="0.2">
      <c r="A277" s="2" t="s">
        <v>677</v>
      </c>
      <c r="B277" s="2" t="s">
        <v>44</v>
      </c>
      <c r="C277" s="2">
        <v>23</v>
      </c>
      <c r="D277" s="2">
        <v>0</v>
      </c>
      <c r="E277" s="2" t="s">
        <v>678</v>
      </c>
      <c r="F277" s="2" t="s">
        <v>644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</row>
    <row r="278" spans="1:28" x14ac:dyDescent="0.2">
      <c r="A278" s="2" t="s">
        <v>679</v>
      </c>
      <c r="B278" s="2" t="s">
        <v>44</v>
      </c>
      <c r="C278" s="2">
        <v>23</v>
      </c>
      <c r="D278" s="2">
        <v>0</v>
      </c>
      <c r="E278" s="2" t="s">
        <v>163</v>
      </c>
      <c r="F278" s="2" t="s">
        <v>644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</row>
    <row r="279" spans="1:28" x14ac:dyDescent="0.2">
      <c r="A279" s="2" t="s">
        <v>680</v>
      </c>
      <c r="B279" s="2" t="s">
        <v>44</v>
      </c>
      <c r="C279" s="2">
        <v>33</v>
      </c>
      <c r="D279" s="2">
        <v>12</v>
      </c>
      <c r="E279" s="2" t="s">
        <v>422</v>
      </c>
      <c r="F279" s="2" t="s">
        <v>644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</row>
    <row r="280" spans="1:28" x14ac:dyDescent="0.2">
      <c r="A280" s="2" t="s">
        <v>681</v>
      </c>
      <c r="B280" s="2" t="s">
        <v>44</v>
      </c>
      <c r="C280" s="2">
        <v>26</v>
      </c>
      <c r="D280" s="2">
        <v>3</v>
      </c>
      <c r="E280" s="2" t="s">
        <v>682</v>
      </c>
      <c r="F280" s="2" t="s">
        <v>644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</row>
    <row r="281" spans="1:28" x14ac:dyDescent="0.2">
      <c r="A281" s="2" t="s">
        <v>683</v>
      </c>
      <c r="B281" s="2" t="s">
        <v>44</v>
      </c>
      <c r="C281" s="2">
        <v>28</v>
      </c>
      <c r="D281" s="2">
        <v>7</v>
      </c>
      <c r="E281" s="2" t="s">
        <v>684</v>
      </c>
      <c r="F281" s="2" t="s">
        <v>644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</row>
    <row r="282" spans="1:28" x14ac:dyDescent="0.2">
      <c r="A282" s="2" t="s">
        <v>685</v>
      </c>
      <c r="B282" s="2" t="s">
        <v>44</v>
      </c>
      <c r="C282" s="2">
        <v>28</v>
      </c>
      <c r="D282" s="2">
        <v>7</v>
      </c>
      <c r="E282" s="2" t="s">
        <v>454</v>
      </c>
      <c r="F282" s="2" t="s">
        <v>644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</row>
    <row r="283" spans="1:28" x14ac:dyDescent="0.2">
      <c r="A283" s="2" t="s">
        <v>686</v>
      </c>
      <c r="B283" s="2" t="s">
        <v>44</v>
      </c>
      <c r="C283" s="2">
        <v>23</v>
      </c>
      <c r="D283" s="2">
        <v>3</v>
      </c>
      <c r="E283" s="2" t="s">
        <v>79</v>
      </c>
      <c r="F283" s="2" t="s">
        <v>644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</row>
    <row r="284" spans="1:28" x14ac:dyDescent="0.2">
      <c r="A284" s="2" t="s">
        <v>687</v>
      </c>
      <c r="B284" s="2" t="s">
        <v>44</v>
      </c>
      <c r="C284" s="2">
        <v>22</v>
      </c>
      <c r="D284" s="2">
        <v>2</v>
      </c>
      <c r="E284" s="2" t="s">
        <v>153</v>
      </c>
      <c r="F284" s="2" t="s">
        <v>644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</row>
    <row r="285" spans="1:28" x14ac:dyDescent="0.2">
      <c r="A285" s="2" t="s">
        <v>688</v>
      </c>
      <c r="B285" s="2" t="s">
        <v>39</v>
      </c>
      <c r="C285" s="2">
        <v>24</v>
      </c>
      <c r="D285" s="2">
        <v>1</v>
      </c>
      <c r="E285" s="2" t="s">
        <v>689</v>
      </c>
      <c r="F285" s="2" t="s">
        <v>644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</row>
    <row r="286" spans="1:28" x14ac:dyDescent="0.2">
      <c r="A286" s="2" t="s">
        <v>690</v>
      </c>
      <c r="B286" s="2" t="s">
        <v>39</v>
      </c>
      <c r="C286" s="2">
        <v>22</v>
      </c>
      <c r="D286" s="2">
        <v>0</v>
      </c>
      <c r="E286" s="2" t="s">
        <v>95</v>
      </c>
      <c r="F286" s="2" t="s">
        <v>644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</row>
    <row r="287" spans="1:28" x14ac:dyDescent="0.2">
      <c r="A287" s="2" t="s">
        <v>691</v>
      </c>
      <c r="B287" s="2" t="s">
        <v>39</v>
      </c>
      <c r="C287" s="2">
        <v>23</v>
      </c>
      <c r="D287" s="2">
        <v>2</v>
      </c>
      <c r="E287" s="2" t="s">
        <v>332</v>
      </c>
      <c r="F287" s="2" t="s">
        <v>644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</row>
    <row r="288" spans="1:28" x14ac:dyDescent="0.2">
      <c r="A288" s="2" t="s">
        <v>692</v>
      </c>
      <c r="B288" s="2" t="s">
        <v>39</v>
      </c>
      <c r="C288" s="2">
        <v>24</v>
      </c>
      <c r="D288" s="2">
        <v>3</v>
      </c>
      <c r="E288" s="2" t="s">
        <v>363</v>
      </c>
      <c r="F288" s="2" t="s">
        <v>644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</row>
    <row r="289" spans="1:28" x14ac:dyDescent="0.2">
      <c r="A289" s="2" t="s">
        <v>712</v>
      </c>
      <c r="B289" s="2" t="s">
        <v>27</v>
      </c>
      <c r="C289" s="2">
        <v>25</v>
      </c>
      <c r="D289" s="2">
        <v>0</v>
      </c>
      <c r="E289" s="2" t="s">
        <v>340</v>
      </c>
      <c r="F289" s="2" t="s">
        <v>696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</row>
    <row r="290" spans="1:28" x14ac:dyDescent="0.2">
      <c r="A290" s="2" t="s">
        <v>713</v>
      </c>
      <c r="B290" s="2" t="s">
        <v>27</v>
      </c>
      <c r="C290" s="2">
        <v>28</v>
      </c>
      <c r="D290" s="2">
        <v>1</v>
      </c>
      <c r="E290" s="2" t="s">
        <v>222</v>
      </c>
      <c r="F290" s="2" t="s">
        <v>696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</row>
    <row r="291" spans="1:28" x14ac:dyDescent="0.2">
      <c r="A291" s="2" t="s">
        <v>714</v>
      </c>
      <c r="B291" s="2" t="s">
        <v>27</v>
      </c>
      <c r="C291" s="2">
        <v>24</v>
      </c>
      <c r="D291" s="2">
        <v>4</v>
      </c>
      <c r="E291" s="2" t="s">
        <v>88</v>
      </c>
      <c r="F291" s="2" t="s">
        <v>696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</row>
    <row r="292" spans="1:28" x14ac:dyDescent="0.2">
      <c r="A292" s="2" t="s">
        <v>715</v>
      </c>
      <c r="B292" s="2" t="s">
        <v>32</v>
      </c>
      <c r="C292" s="2">
        <v>25</v>
      </c>
      <c r="D292" s="2">
        <v>4</v>
      </c>
      <c r="E292" s="2" t="s">
        <v>230</v>
      </c>
      <c r="F292" s="2" t="s">
        <v>696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</row>
    <row r="293" spans="1:28" x14ac:dyDescent="0.2">
      <c r="A293" s="2" t="s">
        <v>716</v>
      </c>
      <c r="B293" s="2" t="s">
        <v>32</v>
      </c>
      <c r="C293" s="2">
        <v>22</v>
      </c>
      <c r="D293" s="2">
        <v>1</v>
      </c>
      <c r="E293" s="2" t="s">
        <v>95</v>
      </c>
      <c r="F293" s="2" t="s">
        <v>696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</row>
    <row r="294" spans="1:28" x14ac:dyDescent="0.2">
      <c r="A294" s="2" t="s">
        <v>717</v>
      </c>
      <c r="B294" s="2" t="s">
        <v>32</v>
      </c>
      <c r="C294" s="2">
        <v>28</v>
      </c>
      <c r="D294" s="2">
        <v>7</v>
      </c>
      <c r="E294" s="2" t="s">
        <v>718</v>
      </c>
      <c r="F294" s="2" t="s">
        <v>696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</row>
    <row r="295" spans="1:28" x14ac:dyDescent="0.2">
      <c r="A295" s="2" t="s">
        <v>719</v>
      </c>
      <c r="B295" s="2" t="s">
        <v>32</v>
      </c>
      <c r="C295" s="2">
        <v>21</v>
      </c>
      <c r="D295" s="2">
        <v>0</v>
      </c>
      <c r="E295" s="2" t="s">
        <v>309</v>
      </c>
      <c r="F295" s="2" t="s">
        <v>696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</row>
    <row r="296" spans="1:28" x14ac:dyDescent="0.2">
      <c r="A296" s="2" t="s">
        <v>720</v>
      </c>
      <c r="B296" s="2" t="s">
        <v>32</v>
      </c>
      <c r="C296" s="2">
        <v>25</v>
      </c>
      <c r="D296" s="2">
        <v>3</v>
      </c>
      <c r="E296" s="2" t="s">
        <v>558</v>
      </c>
      <c r="F296" s="2" t="s">
        <v>696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</row>
    <row r="297" spans="1:28" x14ac:dyDescent="0.2">
      <c r="A297" s="2" t="s">
        <v>721</v>
      </c>
      <c r="B297" s="2" t="s">
        <v>32</v>
      </c>
      <c r="C297" s="2">
        <v>24</v>
      </c>
      <c r="D297" s="2">
        <v>0</v>
      </c>
      <c r="E297" s="2" t="s">
        <v>106</v>
      </c>
      <c r="F297" s="2" t="s">
        <v>696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</row>
    <row r="298" spans="1:28" x14ac:dyDescent="0.2">
      <c r="A298" s="2" t="s">
        <v>722</v>
      </c>
      <c r="B298" s="2" t="s">
        <v>44</v>
      </c>
      <c r="C298" s="2">
        <v>23</v>
      </c>
      <c r="D298" s="2">
        <v>0</v>
      </c>
      <c r="E298" s="2" t="s">
        <v>723</v>
      </c>
      <c r="F298" s="2" t="s">
        <v>696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</row>
    <row r="299" spans="1:28" x14ac:dyDescent="0.2">
      <c r="A299" s="2" t="s">
        <v>724</v>
      </c>
      <c r="B299" s="2" t="s">
        <v>44</v>
      </c>
      <c r="C299" s="2">
        <v>26</v>
      </c>
      <c r="D299" s="2">
        <v>1</v>
      </c>
      <c r="E299" s="2" t="s">
        <v>725</v>
      </c>
      <c r="F299" s="2" t="s">
        <v>696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</row>
    <row r="300" spans="1:28" x14ac:dyDescent="0.2">
      <c r="A300" s="2" t="s">
        <v>726</v>
      </c>
      <c r="B300" s="2" t="s">
        <v>44</v>
      </c>
      <c r="C300" s="2">
        <v>23</v>
      </c>
      <c r="D300" s="2">
        <v>2</v>
      </c>
      <c r="E300" s="2" t="s">
        <v>727</v>
      </c>
      <c r="F300" s="2" t="s">
        <v>696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</row>
    <row r="301" spans="1:28" x14ac:dyDescent="0.2">
      <c r="A301" s="2" t="s">
        <v>728</v>
      </c>
      <c r="B301" s="2" t="s">
        <v>44</v>
      </c>
      <c r="C301" s="2">
        <v>22</v>
      </c>
      <c r="D301" s="2">
        <v>0</v>
      </c>
      <c r="E301" s="2" t="s">
        <v>729</v>
      </c>
      <c r="F301" s="2" t="s">
        <v>696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</row>
    <row r="302" spans="1:28" x14ac:dyDescent="0.2">
      <c r="A302" s="2" t="s">
        <v>730</v>
      </c>
      <c r="B302" s="2" t="s">
        <v>44</v>
      </c>
      <c r="C302" s="2">
        <v>23</v>
      </c>
      <c r="D302" s="2">
        <v>0</v>
      </c>
      <c r="E302" s="2" t="s">
        <v>239</v>
      </c>
      <c r="F302" s="2" t="s">
        <v>696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</row>
    <row r="303" spans="1:28" x14ac:dyDescent="0.2">
      <c r="A303" s="2" t="s">
        <v>731</v>
      </c>
      <c r="B303" s="2" t="s">
        <v>44</v>
      </c>
      <c r="C303" s="2">
        <v>24</v>
      </c>
      <c r="D303" s="2">
        <v>1</v>
      </c>
      <c r="E303" s="2" t="s">
        <v>211</v>
      </c>
      <c r="F303" s="2" t="s">
        <v>696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</row>
    <row r="304" spans="1:28" x14ac:dyDescent="0.2">
      <c r="A304" s="2" t="s">
        <v>732</v>
      </c>
      <c r="B304" s="2" t="s">
        <v>44</v>
      </c>
      <c r="C304" s="2">
        <v>23</v>
      </c>
      <c r="D304" s="2">
        <v>0</v>
      </c>
      <c r="E304" s="2" t="s">
        <v>733</v>
      </c>
      <c r="F304" s="2" t="s">
        <v>696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</row>
    <row r="305" spans="1:28" x14ac:dyDescent="0.2">
      <c r="A305" s="2" t="s">
        <v>734</v>
      </c>
      <c r="B305" s="2" t="s">
        <v>44</v>
      </c>
      <c r="C305" s="2">
        <v>25</v>
      </c>
      <c r="D305" s="2">
        <v>2</v>
      </c>
      <c r="E305" s="2" t="s">
        <v>247</v>
      </c>
      <c r="F305" s="2" t="s">
        <v>696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</row>
    <row r="306" spans="1:28" x14ac:dyDescent="0.2">
      <c r="A306" s="2" t="s">
        <v>735</v>
      </c>
      <c r="B306" s="2" t="s">
        <v>44</v>
      </c>
      <c r="C306" s="2">
        <v>24</v>
      </c>
      <c r="D306" s="2">
        <v>2</v>
      </c>
      <c r="E306" s="2" t="s">
        <v>556</v>
      </c>
      <c r="F306" s="2" t="s">
        <v>696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</row>
    <row r="307" spans="1:28" x14ac:dyDescent="0.2">
      <c r="A307" s="2" t="s">
        <v>736</v>
      </c>
      <c r="B307" s="2" t="s">
        <v>44</v>
      </c>
      <c r="C307" s="2">
        <v>23</v>
      </c>
      <c r="D307" s="2">
        <v>0</v>
      </c>
      <c r="E307" s="2" t="s">
        <v>406</v>
      </c>
      <c r="F307" s="2" t="s">
        <v>696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</row>
    <row r="308" spans="1:28" x14ac:dyDescent="0.2">
      <c r="A308" s="2" t="s">
        <v>737</v>
      </c>
      <c r="B308" s="2" t="s">
        <v>44</v>
      </c>
      <c r="C308" s="2">
        <v>22</v>
      </c>
      <c r="D308" s="2">
        <v>0</v>
      </c>
      <c r="E308" s="2" t="s">
        <v>412</v>
      </c>
      <c r="F308" s="2" t="s">
        <v>696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</row>
    <row r="309" spans="1:28" x14ac:dyDescent="0.2">
      <c r="A309" s="2" t="s">
        <v>738</v>
      </c>
      <c r="B309" s="2" t="s">
        <v>39</v>
      </c>
      <c r="C309" s="2">
        <v>24</v>
      </c>
      <c r="D309" s="2">
        <v>1</v>
      </c>
      <c r="E309" s="2" t="s">
        <v>247</v>
      </c>
      <c r="F309" s="2" t="s">
        <v>696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</row>
    <row r="310" spans="1:28" x14ac:dyDescent="0.2">
      <c r="A310" s="2" t="s">
        <v>739</v>
      </c>
      <c r="B310" s="2" t="s">
        <v>39</v>
      </c>
      <c r="C310" s="2">
        <v>26</v>
      </c>
      <c r="D310" s="2">
        <v>4</v>
      </c>
      <c r="E310" s="2" t="s">
        <v>457</v>
      </c>
      <c r="F310" s="2" t="s">
        <v>696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</row>
    <row r="311" spans="1:28" x14ac:dyDescent="0.2">
      <c r="A311" s="2" t="s">
        <v>740</v>
      </c>
      <c r="B311" s="2" t="s">
        <v>39</v>
      </c>
      <c r="C311" s="2">
        <v>26</v>
      </c>
      <c r="D311" s="2">
        <v>4</v>
      </c>
      <c r="E311" s="2" t="s">
        <v>133</v>
      </c>
      <c r="F311" s="2" t="s">
        <v>696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</row>
    <row r="312" spans="1:28" x14ac:dyDescent="0.2">
      <c r="A312" s="2" t="s">
        <v>741</v>
      </c>
      <c r="B312" s="2" t="s">
        <v>39</v>
      </c>
      <c r="C312" s="2">
        <v>22</v>
      </c>
      <c r="D312" s="2">
        <v>0</v>
      </c>
      <c r="E312" s="2" t="s">
        <v>742</v>
      </c>
      <c r="F312" s="2" t="s">
        <v>696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</row>
    <row r="313" spans="1:28" x14ac:dyDescent="0.2">
      <c r="A313" s="2" t="s">
        <v>743</v>
      </c>
      <c r="B313" s="2" t="s">
        <v>39</v>
      </c>
      <c r="C313" s="2">
        <v>24</v>
      </c>
      <c r="D313" s="2">
        <v>0</v>
      </c>
      <c r="E313" s="2" t="s">
        <v>744</v>
      </c>
      <c r="F313" s="2" t="s">
        <v>696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</row>
    <row r="314" spans="1:28" x14ac:dyDescent="0.2">
      <c r="A314" s="2" t="s">
        <v>767</v>
      </c>
      <c r="B314" s="2" t="s">
        <v>27</v>
      </c>
      <c r="C314" s="2">
        <v>35</v>
      </c>
      <c r="D314" s="2">
        <v>11</v>
      </c>
      <c r="E314" s="2" t="s">
        <v>71</v>
      </c>
      <c r="F314" s="2" t="s">
        <v>747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</row>
    <row r="315" spans="1:28" x14ac:dyDescent="0.2">
      <c r="A315" s="2" t="s">
        <v>768</v>
      </c>
      <c r="B315" s="2" t="s">
        <v>27</v>
      </c>
      <c r="C315" s="2">
        <v>24</v>
      </c>
      <c r="D315" s="2">
        <v>3</v>
      </c>
      <c r="E315" s="2" t="s">
        <v>97</v>
      </c>
      <c r="F315" s="2" t="s">
        <v>747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</row>
    <row r="316" spans="1:28" x14ac:dyDescent="0.2">
      <c r="A316" s="2" t="s">
        <v>769</v>
      </c>
      <c r="B316" s="2" t="s">
        <v>27</v>
      </c>
      <c r="C316" s="2">
        <v>21</v>
      </c>
      <c r="D316" s="2">
        <v>0</v>
      </c>
      <c r="E316" s="2" t="s">
        <v>209</v>
      </c>
      <c r="F316" s="2" t="s">
        <v>747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</row>
    <row r="317" spans="1:28" x14ac:dyDescent="0.2">
      <c r="A317" s="2" t="s">
        <v>770</v>
      </c>
      <c r="B317" s="2" t="s">
        <v>32</v>
      </c>
      <c r="C317" s="2">
        <v>28</v>
      </c>
      <c r="D317" s="2">
        <v>6</v>
      </c>
      <c r="E317" s="2" t="s">
        <v>133</v>
      </c>
      <c r="F317" s="2" t="s">
        <v>747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</row>
    <row r="318" spans="1:28" x14ac:dyDescent="0.2">
      <c r="A318" s="2" t="s">
        <v>771</v>
      </c>
      <c r="B318" s="2" t="s">
        <v>32</v>
      </c>
      <c r="C318" s="2">
        <v>25</v>
      </c>
      <c r="D318" s="2">
        <v>1</v>
      </c>
      <c r="E318" s="2" t="s">
        <v>133</v>
      </c>
      <c r="F318" s="2" t="s">
        <v>747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</row>
    <row r="319" spans="1:28" x14ac:dyDescent="0.2">
      <c r="A319" s="2" t="s">
        <v>772</v>
      </c>
      <c r="B319" s="2" t="s">
        <v>32</v>
      </c>
      <c r="C319" s="2">
        <v>29</v>
      </c>
      <c r="D319" s="2">
        <v>5</v>
      </c>
      <c r="E319" s="2" t="s">
        <v>73</v>
      </c>
      <c r="F319" s="2" t="s">
        <v>747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</row>
    <row r="320" spans="1:28" x14ac:dyDescent="0.2">
      <c r="A320" s="2" t="s">
        <v>773</v>
      </c>
      <c r="B320" s="2" t="s">
        <v>32</v>
      </c>
      <c r="C320" s="2">
        <v>23</v>
      </c>
      <c r="D320" s="2">
        <v>2</v>
      </c>
      <c r="E320" s="2" t="s">
        <v>176</v>
      </c>
      <c r="F320" s="2" t="s">
        <v>747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</row>
    <row r="321" spans="1:28" x14ac:dyDescent="0.2">
      <c r="A321" s="2" t="s">
        <v>774</v>
      </c>
      <c r="B321" s="2" t="s">
        <v>32</v>
      </c>
      <c r="C321" s="2">
        <v>25</v>
      </c>
      <c r="D321" s="2">
        <v>5</v>
      </c>
      <c r="E321" s="2" t="s">
        <v>525</v>
      </c>
      <c r="F321" s="2" t="s">
        <v>747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</row>
    <row r="322" spans="1:28" x14ac:dyDescent="0.2">
      <c r="A322" s="2" t="s">
        <v>775</v>
      </c>
      <c r="B322" s="2" t="s">
        <v>32</v>
      </c>
      <c r="C322" s="2">
        <v>25</v>
      </c>
      <c r="D322" s="2">
        <v>0</v>
      </c>
      <c r="E322" s="2" t="s">
        <v>155</v>
      </c>
      <c r="F322" s="2" t="s">
        <v>747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</row>
    <row r="323" spans="1:28" x14ac:dyDescent="0.2">
      <c r="A323" s="2" t="s">
        <v>776</v>
      </c>
      <c r="B323" s="2" t="s">
        <v>44</v>
      </c>
      <c r="C323" s="2">
        <v>27</v>
      </c>
      <c r="D323" s="2">
        <v>1</v>
      </c>
      <c r="E323" s="2" t="s">
        <v>90</v>
      </c>
      <c r="F323" s="2" t="s">
        <v>747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</row>
    <row r="324" spans="1:28" x14ac:dyDescent="0.2">
      <c r="A324" s="2" t="s">
        <v>777</v>
      </c>
      <c r="B324" s="2" t="s">
        <v>44</v>
      </c>
      <c r="C324" s="2">
        <v>27</v>
      </c>
      <c r="D324" s="2">
        <v>7</v>
      </c>
      <c r="E324" s="2" t="s">
        <v>209</v>
      </c>
      <c r="F324" s="2" t="s">
        <v>747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</row>
    <row r="325" spans="1:28" x14ac:dyDescent="0.2">
      <c r="A325" s="2" t="s">
        <v>778</v>
      </c>
      <c r="B325" s="2" t="s">
        <v>44</v>
      </c>
      <c r="C325" s="2">
        <v>25</v>
      </c>
      <c r="D325" s="2">
        <v>1</v>
      </c>
      <c r="E325" s="2" t="s">
        <v>457</v>
      </c>
      <c r="F325" s="2" t="s">
        <v>747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</row>
    <row r="326" spans="1:28" x14ac:dyDescent="0.2">
      <c r="A326" s="2" t="s">
        <v>779</v>
      </c>
      <c r="B326" s="2" t="s">
        <v>44</v>
      </c>
      <c r="C326" s="2">
        <v>24</v>
      </c>
      <c r="D326" s="2">
        <v>3</v>
      </c>
      <c r="E326" s="2" t="s">
        <v>100</v>
      </c>
      <c r="F326" s="2" t="s">
        <v>747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</row>
    <row r="327" spans="1:28" x14ac:dyDescent="0.2">
      <c r="A327" s="2" t="s">
        <v>780</v>
      </c>
      <c r="B327" s="2" t="s">
        <v>44</v>
      </c>
      <c r="C327" s="2">
        <v>23</v>
      </c>
      <c r="D327" s="2">
        <v>0</v>
      </c>
      <c r="E327" s="2" t="s">
        <v>71</v>
      </c>
      <c r="F327" s="2" t="s">
        <v>747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</row>
    <row r="328" spans="1:28" x14ac:dyDescent="0.2">
      <c r="A328" s="2" t="s">
        <v>781</v>
      </c>
      <c r="B328" s="2" t="s">
        <v>44</v>
      </c>
      <c r="C328" s="2">
        <v>23</v>
      </c>
      <c r="D328" s="2">
        <v>0</v>
      </c>
      <c r="E328" s="2" t="s">
        <v>243</v>
      </c>
      <c r="F328" s="2" t="s">
        <v>747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</row>
    <row r="329" spans="1:28" x14ac:dyDescent="0.2">
      <c r="A329" s="2" t="s">
        <v>782</v>
      </c>
      <c r="B329" s="2" t="s">
        <v>44</v>
      </c>
      <c r="C329" s="2">
        <v>24</v>
      </c>
      <c r="D329" s="2">
        <v>1</v>
      </c>
      <c r="E329" s="2" t="s">
        <v>201</v>
      </c>
      <c r="F329" s="2" t="s">
        <v>747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</row>
    <row r="330" spans="1:28" x14ac:dyDescent="0.2">
      <c r="A330" s="2" t="s">
        <v>783</v>
      </c>
      <c r="B330" s="2" t="s">
        <v>44</v>
      </c>
      <c r="C330" s="2">
        <v>23</v>
      </c>
      <c r="D330" s="2">
        <v>0</v>
      </c>
      <c r="E330" s="2" t="s">
        <v>666</v>
      </c>
      <c r="F330" s="2" t="s">
        <v>747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</row>
    <row r="331" spans="1:28" x14ac:dyDescent="0.2">
      <c r="A331" s="2" t="s">
        <v>784</v>
      </c>
      <c r="B331" s="2" t="s">
        <v>44</v>
      </c>
      <c r="C331" s="2">
        <v>22</v>
      </c>
      <c r="D331" s="2">
        <v>1</v>
      </c>
      <c r="E331" s="2" t="s">
        <v>153</v>
      </c>
      <c r="F331" s="2" t="s">
        <v>747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</row>
    <row r="332" spans="1:28" x14ac:dyDescent="0.2">
      <c r="A332" s="2" t="s">
        <v>785</v>
      </c>
      <c r="B332" s="2" t="s">
        <v>44</v>
      </c>
      <c r="C332" s="2">
        <v>23</v>
      </c>
      <c r="D332" s="2">
        <v>3</v>
      </c>
      <c r="E332" s="2" t="s">
        <v>460</v>
      </c>
      <c r="F332" s="2" t="s">
        <v>747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</row>
    <row r="333" spans="1:28" x14ac:dyDescent="0.2">
      <c r="A333" s="2" t="s">
        <v>786</v>
      </c>
      <c r="B333" s="2" t="s">
        <v>44</v>
      </c>
      <c r="C333" s="2">
        <v>26</v>
      </c>
      <c r="D333" s="2">
        <v>4</v>
      </c>
      <c r="E333" s="2" t="s">
        <v>469</v>
      </c>
      <c r="F333" s="2" t="s">
        <v>747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</row>
    <row r="334" spans="1:28" x14ac:dyDescent="0.2">
      <c r="A334" s="2" t="s">
        <v>787</v>
      </c>
      <c r="B334" s="2" t="s">
        <v>44</v>
      </c>
      <c r="C334" s="2">
        <v>22</v>
      </c>
      <c r="D334" s="2">
        <v>0</v>
      </c>
      <c r="E334" s="2" t="s">
        <v>75</v>
      </c>
      <c r="F334" s="2" t="s">
        <v>747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</row>
    <row r="335" spans="1:28" x14ac:dyDescent="0.2">
      <c r="A335" s="2" t="s">
        <v>788</v>
      </c>
      <c r="B335" s="2" t="s">
        <v>44</v>
      </c>
      <c r="C335" s="2">
        <v>31</v>
      </c>
      <c r="D335" s="2">
        <v>11</v>
      </c>
      <c r="E335" s="2" t="s">
        <v>79</v>
      </c>
      <c r="F335" s="2" t="s">
        <v>747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</row>
    <row r="336" spans="1:28" x14ac:dyDescent="0.2">
      <c r="A336" s="2" t="s">
        <v>789</v>
      </c>
      <c r="B336" s="2" t="s">
        <v>39</v>
      </c>
      <c r="C336" s="2">
        <v>22</v>
      </c>
      <c r="D336" s="2">
        <v>3</v>
      </c>
      <c r="E336" s="2" t="s">
        <v>398</v>
      </c>
      <c r="F336" s="2" t="s">
        <v>747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</row>
    <row r="337" spans="1:28" x14ac:dyDescent="0.2">
      <c r="A337" s="2" t="s">
        <v>790</v>
      </c>
      <c r="B337" s="2" t="s">
        <v>39</v>
      </c>
      <c r="C337" s="2">
        <v>23</v>
      </c>
      <c r="D337" s="2">
        <v>0</v>
      </c>
      <c r="E337" s="2" t="s">
        <v>791</v>
      </c>
      <c r="F337" s="2" t="s">
        <v>747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</row>
    <row r="338" spans="1:28" x14ac:dyDescent="0.2">
      <c r="A338" s="2" t="s">
        <v>792</v>
      </c>
      <c r="B338" s="2" t="s">
        <v>39</v>
      </c>
      <c r="C338" s="2">
        <v>23</v>
      </c>
      <c r="D338" s="2">
        <v>2</v>
      </c>
      <c r="E338" s="2" t="s">
        <v>108</v>
      </c>
      <c r="F338" s="2" t="s">
        <v>747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</row>
    <row r="339" spans="1:28" x14ac:dyDescent="0.2">
      <c r="A339" s="2" t="s">
        <v>793</v>
      </c>
      <c r="B339" s="2" t="s">
        <v>39</v>
      </c>
      <c r="C339" s="2">
        <v>29</v>
      </c>
      <c r="D339" s="2">
        <v>4</v>
      </c>
      <c r="E339" s="2" t="s">
        <v>794</v>
      </c>
      <c r="F339" s="2" t="s">
        <v>747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</row>
    <row r="340" spans="1:28" x14ac:dyDescent="0.2">
      <c r="A340" s="2" t="s">
        <v>813</v>
      </c>
      <c r="B340" s="2" t="s">
        <v>27</v>
      </c>
      <c r="C340" s="2">
        <v>24</v>
      </c>
      <c r="D340" s="2">
        <v>2</v>
      </c>
      <c r="E340" s="2" t="s">
        <v>67</v>
      </c>
      <c r="F340" s="2" t="s">
        <v>797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</row>
    <row r="341" spans="1:28" x14ac:dyDescent="0.2">
      <c r="A341" s="2" t="s">
        <v>814</v>
      </c>
      <c r="B341" s="2" t="s">
        <v>27</v>
      </c>
      <c r="C341" s="2">
        <v>27</v>
      </c>
      <c r="D341" s="2">
        <v>4</v>
      </c>
      <c r="E341" s="2" t="s">
        <v>291</v>
      </c>
      <c r="F341" s="2" t="s">
        <v>797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</row>
    <row r="342" spans="1:28" x14ac:dyDescent="0.2">
      <c r="A342" s="2" t="s">
        <v>815</v>
      </c>
      <c r="B342" s="2" t="s">
        <v>27</v>
      </c>
      <c r="C342" s="2">
        <v>21</v>
      </c>
      <c r="D342" s="2">
        <v>0</v>
      </c>
      <c r="E342" s="2" t="s">
        <v>176</v>
      </c>
      <c r="F342" s="2" t="s">
        <v>797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</row>
    <row r="343" spans="1:28" x14ac:dyDescent="0.2">
      <c r="A343" s="2" t="s">
        <v>816</v>
      </c>
      <c r="B343" s="2" t="s">
        <v>32</v>
      </c>
      <c r="C343" s="2">
        <v>25</v>
      </c>
      <c r="D343" s="2">
        <v>2</v>
      </c>
      <c r="E343" s="2" t="s">
        <v>227</v>
      </c>
      <c r="F343" s="2" t="s">
        <v>797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</row>
    <row r="344" spans="1:28" x14ac:dyDescent="0.2">
      <c r="A344" s="2" t="s">
        <v>817</v>
      </c>
      <c r="B344" s="2" t="s">
        <v>32</v>
      </c>
      <c r="C344" s="2">
        <v>22</v>
      </c>
      <c r="D344" s="2">
        <v>0</v>
      </c>
      <c r="E344" s="2" t="s">
        <v>445</v>
      </c>
      <c r="F344" s="2" t="s">
        <v>797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</row>
    <row r="345" spans="1:28" x14ac:dyDescent="0.2">
      <c r="A345" s="2" t="s">
        <v>818</v>
      </c>
      <c r="B345" s="2" t="s">
        <v>32</v>
      </c>
      <c r="C345" s="2">
        <v>24</v>
      </c>
      <c r="D345" s="2">
        <v>2</v>
      </c>
      <c r="E345" s="2" t="s">
        <v>819</v>
      </c>
      <c r="F345" s="2" t="s">
        <v>797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</row>
    <row r="346" spans="1:28" x14ac:dyDescent="0.2">
      <c r="A346" s="2" t="s">
        <v>820</v>
      </c>
      <c r="B346" s="2" t="s">
        <v>32</v>
      </c>
      <c r="C346" s="2">
        <v>25</v>
      </c>
      <c r="D346" s="2">
        <v>3</v>
      </c>
      <c r="E346" s="2" t="s">
        <v>203</v>
      </c>
      <c r="F346" s="2" t="s">
        <v>797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</row>
    <row r="347" spans="1:28" x14ac:dyDescent="0.2">
      <c r="A347" s="2" t="s">
        <v>821</v>
      </c>
      <c r="B347" s="2" t="s">
        <v>32</v>
      </c>
      <c r="C347" s="2">
        <v>24</v>
      </c>
      <c r="D347" s="2">
        <v>3</v>
      </c>
      <c r="E347" s="2" t="s">
        <v>73</v>
      </c>
      <c r="F347" s="2" t="s">
        <v>797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</row>
    <row r="348" spans="1:28" x14ac:dyDescent="0.2">
      <c r="A348" s="2" t="s">
        <v>822</v>
      </c>
      <c r="B348" s="2" t="s">
        <v>44</v>
      </c>
      <c r="C348" s="2">
        <v>24</v>
      </c>
      <c r="D348" s="2">
        <v>0</v>
      </c>
      <c r="E348" s="2" t="s">
        <v>447</v>
      </c>
      <c r="F348" s="2" t="s">
        <v>797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</row>
    <row r="349" spans="1:28" x14ac:dyDescent="0.2">
      <c r="A349" s="2" t="s">
        <v>823</v>
      </c>
      <c r="B349" s="2" t="s">
        <v>44</v>
      </c>
      <c r="C349" s="2">
        <v>21</v>
      </c>
      <c r="D349" s="2">
        <v>0</v>
      </c>
      <c r="E349" s="2" t="s">
        <v>163</v>
      </c>
      <c r="F349" s="2" t="s">
        <v>797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</row>
    <row r="350" spans="1:28" x14ac:dyDescent="0.2">
      <c r="A350" s="2" t="s">
        <v>824</v>
      </c>
      <c r="B350" s="2" t="s">
        <v>44</v>
      </c>
      <c r="C350" s="2">
        <v>26</v>
      </c>
      <c r="D350" s="2">
        <v>4</v>
      </c>
      <c r="E350" s="2" t="s">
        <v>825</v>
      </c>
      <c r="F350" s="2" t="s">
        <v>797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</row>
    <row r="351" spans="1:28" x14ac:dyDescent="0.2">
      <c r="A351" s="2" t="s">
        <v>826</v>
      </c>
      <c r="B351" s="2" t="s">
        <v>44</v>
      </c>
      <c r="C351" s="2">
        <v>25</v>
      </c>
      <c r="D351" s="2">
        <v>0</v>
      </c>
      <c r="E351" s="2" t="s">
        <v>473</v>
      </c>
      <c r="F351" s="2" t="s">
        <v>797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</row>
    <row r="352" spans="1:28" x14ac:dyDescent="0.2">
      <c r="A352" s="2" t="s">
        <v>827</v>
      </c>
      <c r="B352" s="2" t="s">
        <v>44</v>
      </c>
      <c r="C352" s="2">
        <v>23</v>
      </c>
      <c r="D352" s="2">
        <v>0</v>
      </c>
      <c r="E352" s="2" t="s">
        <v>828</v>
      </c>
      <c r="F352" s="2" t="s">
        <v>797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</row>
    <row r="353" spans="1:28" x14ac:dyDescent="0.2">
      <c r="A353" s="2" t="s">
        <v>829</v>
      </c>
      <c r="B353" s="2" t="s">
        <v>44</v>
      </c>
      <c r="C353" s="2">
        <v>28</v>
      </c>
      <c r="D353" s="2">
        <v>6</v>
      </c>
      <c r="E353" s="2" t="s">
        <v>171</v>
      </c>
      <c r="F353" s="2" t="s">
        <v>797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</row>
    <row r="354" spans="1:28" x14ac:dyDescent="0.2">
      <c r="A354" s="2" t="s">
        <v>830</v>
      </c>
      <c r="B354" s="2" t="s">
        <v>44</v>
      </c>
      <c r="C354" s="2">
        <v>29</v>
      </c>
      <c r="D354" s="2">
        <v>8</v>
      </c>
      <c r="E354" s="2" t="s">
        <v>281</v>
      </c>
      <c r="F354" s="2" t="s">
        <v>797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</row>
    <row r="355" spans="1:28" x14ac:dyDescent="0.2">
      <c r="A355" s="2" t="s">
        <v>831</v>
      </c>
      <c r="B355" s="2" t="s">
        <v>44</v>
      </c>
      <c r="C355" s="2">
        <v>23</v>
      </c>
      <c r="D355" s="2">
        <v>0</v>
      </c>
      <c r="E355" s="2" t="s">
        <v>133</v>
      </c>
      <c r="F355" s="2" t="s">
        <v>797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</row>
    <row r="356" spans="1:28" x14ac:dyDescent="0.2">
      <c r="A356" s="2" t="s">
        <v>832</v>
      </c>
      <c r="B356" s="2" t="s">
        <v>44</v>
      </c>
      <c r="C356" s="2">
        <v>25</v>
      </c>
      <c r="D356" s="2">
        <v>3</v>
      </c>
      <c r="E356" s="2" t="s">
        <v>79</v>
      </c>
      <c r="F356" s="2" t="s">
        <v>797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0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</row>
    <row r="357" spans="1:28" x14ac:dyDescent="0.2">
      <c r="A357" s="2" t="s">
        <v>833</v>
      </c>
      <c r="B357" s="2" t="s">
        <v>44</v>
      </c>
      <c r="C357" s="2">
        <v>23</v>
      </c>
      <c r="D357" s="2">
        <v>0</v>
      </c>
      <c r="E357" s="2" t="s">
        <v>834</v>
      </c>
      <c r="F357" s="2" t="s">
        <v>797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</row>
    <row r="358" spans="1:28" x14ac:dyDescent="0.2">
      <c r="A358" s="2" t="s">
        <v>835</v>
      </c>
      <c r="B358" s="2" t="s">
        <v>44</v>
      </c>
      <c r="C358" s="2">
        <v>27</v>
      </c>
      <c r="D358" s="2">
        <v>4</v>
      </c>
      <c r="E358" s="2" t="s">
        <v>836</v>
      </c>
      <c r="F358" s="2" t="s">
        <v>797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</row>
    <row r="359" spans="1:28" x14ac:dyDescent="0.2">
      <c r="A359" s="2" t="s">
        <v>837</v>
      </c>
      <c r="B359" s="2" t="s">
        <v>44</v>
      </c>
      <c r="C359" s="2">
        <v>25</v>
      </c>
      <c r="D359" s="2">
        <v>2</v>
      </c>
      <c r="E359" s="2" t="s">
        <v>838</v>
      </c>
      <c r="F359" s="2" t="s">
        <v>797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</row>
    <row r="360" spans="1:28" x14ac:dyDescent="0.2">
      <c r="A360" s="2" t="s">
        <v>839</v>
      </c>
      <c r="B360" s="2" t="s">
        <v>44</v>
      </c>
      <c r="C360" s="2">
        <v>27</v>
      </c>
      <c r="D360" s="2">
        <v>5</v>
      </c>
      <c r="E360" s="2" t="s">
        <v>447</v>
      </c>
      <c r="F360" s="2" t="s">
        <v>797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</row>
    <row r="361" spans="1:28" x14ac:dyDescent="0.2">
      <c r="A361" s="2" t="s">
        <v>840</v>
      </c>
      <c r="B361" s="2" t="s">
        <v>44</v>
      </c>
      <c r="C361" s="2">
        <v>26</v>
      </c>
      <c r="D361" s="2">
        <v>3</v>
      </c>
      <c r="E361" s="2" t="s">
        <v>83</v>
      </c>
      <c r="F361" s="2" t="s">
        <v>797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</row>
    <row r="362" spans="1:28" x14ac:dyDescent="0.2">
      <c r="A362" s="2" t="s">
        <v>841</v>
      </c>
      <c r="B362" s="2" t="s">
        <v>39</v>
      </c>
      <c r="C362" s="2">
        <v>29</v>
      </c>
      <c r="D362" s="2">
        <v>5</v>
      </c>
      <c r="E362" s="2" t="s">
        <v>842</v>
      </c>
      <c r="F362" s="2" t="s">
        <v>797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</row>
    <row r="363" spans="1:28" x14ac:dyDescent="0.2">
      <c r="A363" s="2" t="s">
        <v>843</v>
      </c>
      <c r="B363" s="2" t="s">
        <v>39</v>
      </c>
      <c r="C363" s="2">
        <v>29</v>
      </c>
      <c r="D363" s="2">
        <v>5</v>
      </c>
      <c r="E363" s="2" t="s">
        <v>201</v>
      </c>
      <c r="F363" s="2" t="s">
        <v>797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</row>
    <row r="364" spans="1:28" x14ac:dyDescent="0.2">
      <c r="A364" s="2" t="s">
        <v>844</v>
      </c>
      <c r="B364" s="2" t="s">
        <v>39</v>
      </c>
      <c r="C364" s="2">
        <v>25</v>
      </c>
      <c r="D364" s="2">
        <v>2</v>
      </c>
      <c r="E364" s="2" t="s">
        <v>234</v>
      </c>
      <c r="F364" s="2" t="s">
        <v>797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</row>
    <row r="365" spans="1:28" x14ac:dyDescent="0.2">
      <c r="A365" s="2" t="s">
        <v>845</v>
      </c>
      <c r="B365" s="2" t="s">
        <v>39</v>
      </c>
      <c r="C365" s="2">
        <v>24</v>
      </c>
      <c r="D365" s="2">
        <v>0</v>
      </c>
      <c r="E365" s="2" t="s">
        <v>398</v>
      </c>
      <c r="F365" s="2" t="s">
        <v>797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</row>
    <row r="366" spans="1:28" x14ac:dyDescent="0.2">
      <c r="A366" s="2" t="s">
        <v>846</v>
      </c>
      <c r="B366" s="2" t="s">
        <v>39</v>
      </c>
      <c r="C366" s="2">
        <v>24</v>
      </c>
      <c r="D366" s="2">
        <v>0</v>
      </c>
      <c r="E366" s="2" t="s">
        <v>618</v>
      </c>
      <c r="F366" s="2" t="s">
        <v>797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</row>
    <row r="367" spans="1:28" x14ac:dyDescent="0.2">
      <c r="A367" s="2" t="s">
        <v>847</v>
      </c>
      <c r="B367" s="2" t="s">
        <v>39</v>
      </c>
      <c r="C367" s="2">
        <v>26</v>
      </c>
      <c r="D367" s="2">
        <v>3</v>
      </c>
      <c r="E367" s="2" t="s">
        <v>97</v>
      </c>
      <c r="F367" s="2" t="s">
        <v>797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</row>
    <row r="368" spans="1:28" x14ac:dyDescent="0.2">
      <c r="A368" s="2" t="s">
        <v>865</v>
      </c>
      <c r="B368" s="2" t="s">
        <v>27</v>
      </c>
      <c r="C368" s="2">
        <v>29</v>
      </c>
      <c r="D368" s="2">
        <v>6</v>
      </c>
      <c r="E368" s="2" t="s">
        <v>95</v>
      </c>
      <c r="F368" s="2" t="s">
        <v>850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</row>
    <row r="369" spans="1:28" x14ac:dyDescent="0.2">
      <c r="A369" s="2" t="s">
        <v>866</v>
      </c>
      <c r="B369" s="2" t="s">
        <v>27</v>
      </c>
      <c r="C369" s="2">
        <v>23</v>
      </c>
      <c r="D369" s="2">
        <v>2</v>
      </c>
      <c r="E369" s="2" t="s">
        <v>460</v>
      </c>
      <c r="F369" s="2" t="s">
        <v>850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</row>
    <row r="370" spans="1:28" x14ac:dyDescent="0.2">
      <c r="A370" s="2" t="s">
        <v>867</v>
      </c>
      <c r="B370" s="2" t="s">
        <v>27</v>
      </c>
      <c r="C370" s="2">
        <v>25</v>
      </c>
      <c r="D370" s="2">
        <v>0</v>
      </c>
      <c r="E370" s="2" t="s">
        <v>868</v>
      </c>
      <c r="F370" s="2" t="s">
        <v>850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0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</row>
    <row r="371" spans="1:28" x14ac:dyDescent="0.2">
      <c r="A371" s="2" t="s">
        <v>869</v>
      </c>
      <c r="B371" s="2" t="s">
        <v>32</v>
      </c>
      <c r="C371" s="2">
        <v>21</v>
      </c>
      <c r="D371" s="2">
        <v>0</v>
      </c>
      <c r="E371" s="2" t="s">
        <v>466</v>
      </c>
      <c r="F371" s="2" t="s">
        <v>850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</row>
    <row r="372" spans="1:28" x14ac:dyDescent="0.2">
      <c r="A372" s="2" t="s">
        <v>870</v>
      </c>
      <c r="B372" s="2" t="s">
        <v>32</v>
      </c>
      <c r="C372" s="2">
        <v>22</v>
      </c>
      <c r="D372" s="2">
        <v>0</v>
      </c>
      <c r="E372" s="2" t="s">
        <v>239</v>
      </c>
      <c r="F372" s="2" t="s">
        <v>850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</row>
    <row r="373" spans="1:28" x14ac:dyDescent="0.2">
      <c r="A373" s="2" t="s">
        <v>871</v>
      </c>
      <c r="B373" s="2" t="s">
        <v>32</v>
      </c>
      <c r="C373" s="2">
        <v>24</v>
      </c>
      <c r="D373" s="2">
        <v>2</v>
      </c>
      <c r="E373" s="2" t="s">
        <v>460</v>
      </c>
      <c r="F373" s="2" t="s">
        <v>850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</row>
    <row r="374" spans="1:28" x14ac:dyDescent="0.2">
      <c r="A374" s="2" t="s">
        <v>872</v>
      </c>
      <c r="B374" s="2" t="s">
        <v>32</v>
      </c>
      <c r="C374" s="2">
        <v>26</v>
      </c>
      <c r="D374" s="2">
        <v>3</v>
      </c>
      <c r="E374" s="2" t="s">
        <v>394</v>
      </c>
      <c r="F374" s="2" t="s">
        <v>850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</row>
    <row r="375" spans="1:28" x14ac:dyDescent="0.2">
      <c r="A375" s="2" t="s">
        <v>873</v>
      </c>
      <c r="B375" s="2" t="s">
        <v>32</v>
      </c>
      <c r="C375" s="2">
        <v>27</v>
      </c>
      <c r="D375" s="2">
        <v>4</v>
      </c>
      <c r="E375" s="2" t="s">
        <v>874</v>
      </c>
      <c r="F375" s="2" t="s">
        <v>850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</row>
    <row r="376" spans="1:28" x14ac:dyDescent="0.2">
      <c r="A376" s="2" t="s">
        <v>875</v>
      </c>
      <c r="B376" s="2" t="s">
        <v>32</v>
      </c>
      <c r="C376" s="2">
        <v>26</v>
      </c>
      <c r="D376" s="2">
        <v>4</v>
      </c>
      <c r="E376" s="2" t="s">
        <v>75</v>
      </c>
      <c r="F376" s="2" t="s">
        <v>850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</row>
    <row r="377" spans="1:28" x14ac:dyDescent="0.2">
      <c r="A377" s="2" t="s">
        <v>876</v>
      </c>
      <c r="B377" s="2" t="s">
        <v>44</v>
      </c>
      <c r="C377" s="2">
        <v>28</v>
      </c>
      <c r="D377" s="2">
        <v>6</v>
      </c>
      <c r="E377" s="2" t="s">
        <v>207</v>
      </c>
      <c r="F377" s="2" t="s">
        <v>850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</row>
    <row r="378" spans="1:28" x14ac:dyDescent="0.2">
      <c r="A378" s="2" t="s">
        <v>877</v>
      </c>
      <c r="B378" s="2" t="s">
        <v>44</v>
      </c>
      <c r="C378" s="2">
        <v>23</v>
      </c>
      <c r="D378" s="2">
        <v>0</v>
      </c>
      <c r="E378" s="2" t="s">
        <v>363</v>
      </c>
      <c r="F378" s="2" t="s">
        <v>850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</row>
    <row r="379" spans="1:28" x14ac:dyDescent="0.2">
      <c r="A379" s="2" t="s">
        <v>878</v>
      </c>
      <c r="B379" s="2" t="s">
        <v>44</v>
      </c>
      <c r="C379" s="2">
        <v>24</v>
      </c>
      <c r="D379" s="2">
        <v>0</v>
      </c>
      <c r="E379" s="2" t="s">
        <v>689</v>
      </c>
      <c r="F379" s="2" t="s">
        <v>850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</row>
    <row r="380" spans="1:28" x14ac:dyDescent="0.2">
      <c r="A380" s="2" t="s">
        <v>879</v>
      </c>
      <c r="B380" s="2" t="s">
        <v>44</v>
      </c>
      <c r="C380" s="2">
        <v>26</v>
      </c>
      <c r="D380" s="2">
        <v>2</v>
      </c>
      <c r="E380" s="2" t="s">
        <v>281</v>
      </c>
      <c r="F380" s="2" t="s">
        <v>850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</row>
    <row r="381" spans="1:28" x14ac:dyDescent="0.2">
      <c r="A381" s="2" t="s">
        <v>880</v>
      </c>
      <c r="B381" s="2" t="s">
        <v>44</v>
      </c>
      <c r="C381" s="2">
        <v>23</v>
      </c>
      <c r="D381" s="2">
        <v>0</v>
      </c>
      <c r="E381" s="2" t="s">
        <v>222</v>
      </c>
      <c r="F381" s="2" t="s">
        <v>850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</row>
    <row r="382" spans="1:28" x14ac:dyDescent="0.2">
      <c r="A382" s="2" t="s">
        <v>881</v>
      </c>
      <c r="B382" s="2" t="s">
        <v>44</v>
      </c>
      <c r="C382" s="2">
        <v>25</v>
      </c>
      <c r="D382" s="2">
        <v>1</v>
      </c>
      <c r="E382" s="2" t="s">
        <v>237</v>
      </c>
      <c r="F382" s="2" t="s">
        <v>850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</row>
    <row r="383" spans="1:28" x14ac:dyDescent="0.2">
      <c r="A383" s="2" t="s">
        <v>882</v>
      </c>
      <c r="B383" s="2" t="s">
        <v>44</v>
      </c>
      <c r="C383" s="2">
        <v>28</v>
      </c>
      <c r="D383" s="2">
        <v>6</v>
      </c>
      <c r="E383" s="2" t="s">
        <v>215</v>
      </c>
      <c r="F383" s="2" t="s">
        <v>850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</row>
    <row r="384" spans="1:28" x14ac:dyDescent="0.2">
      <c r="A384" s="2" t="s">
        <v>883</v>
      </c>
      <c r="B384" s="2" t="s">
        <v>44</v>
      </c>
      <c r="C384" s="2">
        <v>26</v>
      </c>
      <c r="D384" s="2">
        <v>5</v>
      </c>
      <c r="E384" s="2" t="s">
        <v>454</v>
      </c>
      <c r="F384" s="2" t="s">
        <v>850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</row>
    <row r="385" spans="1:28" x14ac:dyDescent="0.2">
      <c r="A385" s="2" t="s">
        <v>884</v>
      </c>
      <c r="B385" s="2" t="s">
        <v>44</v>
      </c>
      <c r="C385" s="2">
        <v>24</v>
      </c>
      <c r="D385" s="2">
        <v>0</v>
      </c>
      <c r="E385" s="2" t="s">
        <v>247</v>
      </c>
      <c r="F385" s="2" t="s">
        <v>850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</row>
    <row r="386" spans="1:28" x14ac:dyDescent="0.2">
      <c r="A386" s="2" t="s">
        <v>885</v>
      </c>
      <c r="B386" s="2" t="s">
        <v>44</v>
      </c>
      <c r="C386" s="2">
        <v>26</v>
      </c>
      <c r="D386" s="2">
        <v>1</v>
      </c>
      <c r="E386" s="2" t="s">
        <v>886</v>
      </c>
      <c r="F386" s="2" t="s">
        <v>850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</row>
    <row r="387" spans="1:28" x14ac:dyDescent="0.2">
      <c r="A387" s="2" t="s">
        <v>887</v>
      </c>
      <c r="B387" s="2" t="s">
        <v>44</v>
      </c>
      <c r="C387" s="2">
        <v>25</v>
      </c>
      <c r="D387" s="2">
        <v>0</v>
      </c>
      <c r="E387" s="2" t="s">
        <v>73</v>
      </c>
      <c r="F387" s="2" t="s">
        <v>850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</row>
    <row r="388" spans="1:28" x14ac:dyDescent="0.2">
      <c r="A388" s="2" t="s">
        <v>888</v>
      </c>
      <c r="B388" s="2" t="s">
        <v>44</v>
      </c>
      <c r="C388" s="2">
        <v>28</v>
      </c>
      <c r="D388" s="2">
        <v>5</v>
      </c>
      <c r="E388" s="2" t="s">
        <v>153</v>
      </c>
      <c r="F388" s="2" t="s">
        <v>850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</row>
    <row r="389" spans="1:28" x14ac:dyDescent="0.2">
      <c r="A389" s="2" t="s">
        <v>889</v>
      </c>
      <c r="B389" s="2" t="s">
        <v>44</v>
      </c>
      <c r="C389" s="2">
        <v>21</v>
      </c>
      <c r="D389" s="2">
        <v>0</v>
      </c>
      <c r="E389" s="2" t="s">
        <v>340</v>
      </c>
      <c r="F389" s="2" t="s">
        <v>850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</row>
    <row r="390" spans="1:28" x14ac:dyDescent="0.2">
      <c r="A390" s="2" t="s">
        <v>890</v>
      </c>
      <c r="B390" s="2" t="s">
        <v>44</v>
      </c>
      <c r="C390" s="2">
        <v>23</v>
      </c>
      <c r="D390" s="2">
        <v>1</v>
      </c>
      <c r="E390" s="2" t="s">
        <v>466</v>
      </c>
      <c r="F390" s="2" t="s">
        <v>850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</row>
    <row r="391" spans="1:28" x14ac:dyDescent="0.2">
      <c r="A391" s="2" t="s">
        <v>891</v>
      </c>
      <c r="B391" s="2" t="s">
        <v>39</v>
      </c>
      <c r="C391" s="2">
        <v>28</v>
      </c>
      <c r="D391" s="2">
        <v>6</v>
      </c>
      <c r="E391" s="2" t="s">
        <v>239</v>
      </c>
      <c r="F391" s="2" t="s">
        <v>850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</row>
    <row r="392" spans="1:28" x14ac:dyDescent="0.2">
      <c r="A392" s="2" t="s">
        <v>892</v>
      </c>
      <c r="B392" s="2" t="s">
        <v>39</v>
      </c>
      <c r="C392" s="2">
        <v>25</v>
      </c>
      <c r="D392" s="2">
        <v>2</v>
      </c>
      <c r="E392" s="2" t="s">
        <v>209</v>
      </c>
      <c r="F392" s="2" t="s">
        <v>850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</row>
    <row r="393" spans="1:28" x14ac:dyDescent="0.2">
      <c r="A393" s="2" t="s">
        <v>893</v>
      </c>
      <c r="B393" s="2" t="s">
        <v>39</v>
      </c>
      <c r="C393" s="2"/>
      <c r="D393" s="2">
        <v>1</v>
      </c>
      <c r="E393" s="2" t="s">
        <v>894</v>
      </c>
      <c r="F393" s="2" t="s">
        <v>850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</row>
    <row r="394" spans="1:28" x14ac:dyDescent="0.2">
      <c r="A394" s="2" t="s">
        <v>895</v>
      </c>
      <c r="B394" s="2" t="s">
        <v>39</v>
      </c>
      <c r="C394" s="2">
        <v>25</v>
      </c>
      <c r="D394" s="2">
        <v>0</v>
      </c>
      <c r="E394" s="2" t="s">
        <v>334</v>
      </c>
      <c r="F394" s="2" t="s">
        <v>850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</row>
    <row r="395" spans="1:28" x14ac:dyDescent="0.2">
      <c r="A395" s="2" t="s">
        <v>896</v>
      </c>
      <c r="B395" s="2" t="s">
        <v>39</v>
      </c>
      <c r="C395" s="2">
        <v>27</v>
      </c>
      <c r="D395" s="2">
        <v>2</v>
      </c>
      <c r="E395" s="2" t="s">
        <v>897</v>
      </c>
      <c r="F395" s="2" t="s">
        <v>850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</row>
    <row r="396" spans="1:28" x14ac:dyDescent="0.2">
      <c r="A396" s="2" t="s">
        <v>917</v>
      </c>
      <c r="B396" s="2" t="s">
        <v>27</v>
      </c>
      <c r="C396" s="2">
        <v>25</v>
      </c>
      <c r="D396" s="2">
        <v>2</v>
      </c>
      <c r="E396" s="2" t="s">
        <v>234</v>
      </c>
      <c r="F396" s="2" t="s">
        <v>900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</row>
    <row r="397" spans="1:28" x14ac:dyDescent="0.2">
      <c r="A397" s="2" t="s">
        <v>918</v>
      </c>
      <c r="B397" s="2" t="s">
        <v>27</v>
      </c>
      <c r="C397" s="2">
        <v>33</v>
      </c>
      <c r="D397" s="2">
        <v>13</v>
      </c>
      <c r="E397" s="2" t="s">
        <v>615</v>
      </c>
      <c r="F397" s="2" t="s">
        <v>900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</row>
    <row r="398" spans="1:28" x14ac:dyDescent="0.2">
      <c r="A398" s="2" t="s">
        <v>919</v>
      </c>
      <c r="B398" s="2" t="s">
        <v>27</v>
      </c>
      <c r="C398" s="2">
        <v>27</v>
      </c>
      <c r="D398" s="2">
        <v>6</v>
      </c>
      <c r="E398" s="2" t="s">
        <v>515</v>
      </c>
      <c r="F398" s="2" t="s">
        <v>900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</row>
    <row r="399" spans="1:28" x14ac:dyDescent="0.2">
      <c r="A399" s="2" t="s">
        <v>920</v>
      </c>
      <c r="B399" s="2" t="s">
        <v>27</v>
      </c>
      <c r="C399" s="2">
        <v>25</v>
      </c>
      <c r="D399" s="2">
        <v>0</v>
      </c>
      <c r="E399" s="2" t="s">
        <v>742</v>
      </c>
      <c r="F399" s="2" t="s">
        <v>900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</row>
    <row r="400" spans="1:28" x14ac:dyDescent="0.2">
      <c r="A400" s="2" t="s">
        <v>921</v>
      </c>
      <c r="B400" s="2" t="s">
        <v>32</v>
      </c>
      <c r="C400" s="2">
        <v>24</v>
      </c>
      <c r="D400" s="2">
        <v>3</v>
      </c>
      <c r="E400" s="2" t="s">
        <v>222</v>
      </c>
      <c r="F400" s="2" t="s">
        <v>900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</row>
    <row r="401" spans="1:28" x14ac:dyDescent="0.2">
      <c r="A401" s="2" t="s">
        <v>922</v>
      </c>
      <c r="B401" s="2" t="s">
        <v>32</v>
      </c>
      <c r="C401" s="2">
        <v>31</v>
      </c>
      <c r="D401" s="2">
        <v>9</v>
      </c>
      <c r="E401" s="2" t="s">
        <v>923</v>
      </c>
      <c r="F401" s="2" t="s">
        <v>900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</row>
    <row r="402" spans="1:28" x14ac:dyDescent="0.2">
      <c r="A402" s="2" t="s">
        <v>924</v>
      </c>
      <c r="B402" s="2" t="s">
        <v>32</v>
      </c>
      <c r="C402" s="2">
        <v>24</v>
      </c>
      <c r="D402" s="2">
        <v>0</v>
      </c>
      <c r="E402" s="2" t="s">
        <v>211</v>
      </c>
      <c r="F402" s="2" t="s">
        <v>900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</row>
    <row r="403" spans="1:28" x14ac:dyDescent="0.2">
      <c r="A403" s="2" t="s">
        <v>925</v>
      </c>
      <c r="B403" s="2" t="s">
        <v>32</v>
      </c>
      <c r="C403" s="2">
        <v>25</v>
      </c>
      <c r="D403" s="2">
        <v>3</v>
      </c>
      <c r="E403" s="2" t="s">
        <v>176</v>
      </c>
      <c r="F403" s="2" t="s">
        <v>900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</row>
    <row r="404" spans="1:28" x14ac:dyDescent="0.2">
      <c r="A404" s="2" t="s">
        <v>926</v>
      </c>
      <c r="B404" s="2" t="s">
        <v>32</v>
      </c>
      <c r="C404" s="2">
        <v>23</v>
      </c>
      <c r="D404" s="2">
        <v>0</v>
      </c>
      <c r="E404" s="2" t="s">
        <v>927</v>
      </c>
      <c r="F404" s="2" t="s">
        <v>900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</row>
    <row r="405" spans="1:28" x14ac:dyDescent="0.2">
      <c r="A405" s="2" t="s">
        <v>928</v>
      </c>
      <c r="B405" s="2" t="s">
        <v>44</v>
      </c>
      <c r="C405" s="2"/>
      <c r="D405" s="2">
        <v>0</v>
      </c>
      <c r="E405" s="2" t="s">
        <v>422</v>
      </c>
      <c r="F405" s="2" t="s">
        <v>900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</row>
    <row r="406" spans="1:28" x14ac:dyDescent="0.2">
      <c r="A406" s="2" t="s">
        <v>929</v>
      </c>
      <c r="B406" s="2" t="s">
        <v>44</v>
      </c>
      <c r="C406" s="2">
        <v>22</v>
      </c>
      <c r="D406" s="2">
        <v>0</v>
      </c>
      <c r="E406" s="2" t="s">
        <v>239</v>
      </c>
      <c r="F406" s="2" t="s">
        <v>900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</row>
    <row r="407" spans="1:28" x14ac:dyDescent="0.2">
      <c r="A407" s="2" t="s">
        <v>930</v>
      </c>
      <c r="B407" s="2" t="s">
        <v>44</v>
      </c>
      <c r="C407" s="2">
        <v>24</v>
      </c>
      <c r="D407" s="2">
        <v>0</v>
      </c>
      <c r="E407" s="2" t="s">
        <v>361</v>
      </c>
      <c r="F407" s="2" t="s">
        <v>900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</row>
    <row r="408" spans="1:28" x14ac:dyDescent="0.2">
      <c r="A408" s="2" t="s">
        <v>931</v>
      </c>
      <c r="B408" s="2" t="s">
        <v>44</v>
      </c>
      <c r="C408" s="2">
        <v>27</v>
      </c>
      <c r="D408" s="2">
        <v>5</v>
      </c>
      <c r="E408" s="2" t="s">
        <v>295</v>
      </c>
      <c r="F408" s="2" t="s">
        <v>900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</row>
    <row r="409" spans="1:28" x14ac:dyDescent="0.2">
      <c r="A409" s="2" t="s">
        <v>932</v>
      </c>
      <c r="B409" s="2" t="s">
        <v>44</v>
      </c>
      <c r="C409" s="2">
        <v>22</v>
      </c>
      <c r="D409" s="2">
        <v>0</v>
      </c>
      <c r="E409" s="2" t="s">
        <v>358</v>
      </c>
      <c r="F409" s="2" t="s">
        <v>900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</row>
    <row r="410" spans="1:28" x14ac:dyDescent="0.2">
      <c r="A410" s="2" t="s">
        <v>933</v>
      </c>
      <c r="B410" s="2" t="s">
        <v>44</v>
      </c>
      <c r="C410" s="2">
        <v>25</v>
      </c>
      <c r="D410" s="2">
        <v>1</v>
      </c>
      <c r="E410" s="2" t="s">
        <v>460</v>
      </c>
      <c r="F410" s="2" t="s">
        <v>900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</row>
    <row r="411" spans="1:28" x14ac:dyDescent="0.2">
      <c r="A411" s="2" t="s">
        <v>934</v>
      </c>
      <c r="B411" s="2" t="s">
        <v>44</v>
      </c>
      <c r="C411" s="2">
        <v>23</v>
      </c>
      <c r="D411" s="2">
        <v>0</v>
      </c>
      <c r="E411" s="2" t="s">
        <v>279</v>
      </c>
      <c r="F411" s="2" t="s">
        <v>900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</row>
    <row r="412" spans="1:28" x14ac:dyDescent="0.2">
      <c r="A412" s="2" t="s">
        <v>935</v>
      </c>
      <c r="B412" s="2" t="s">
        <v>44</v>
      </c>
      <c r="C412" s="2">
        <v>23</v>
      </c>
      <c r="D412" s="2">
        <v>0</v>
      </c>
      <c r="E412" s="2" t="s">
        <v>234</v>
      </c>
      <c r="F412" s="2" t="s">
        <v>900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</row>
    <row r="413" spans="1:28" x14ac:dyDescent="0.2">
      <c r="A413" s="2" t="s">
        <v>936</v>
      </c>
      <c r="B413" s="2" t="s">
        <v>44</v>
      </c>
      <c r="C413" s="2">
        <v>28</v>
      </c>
      <c r="D413" s="2">
        <v>5</v>
      </c>
      <c r="E413" s="2" t="s">
        <v>85</v>
      </c>
      <c r="F413" s="2" t="s">
        <v>900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</row>
    <row r="414" spans="1:28" x14ac:dyDescent="0.2">
      <c r="A414" s="2" t="s">
        <v>937</v>
      </c>
      <c r="B414" s="2" t="s">
        <v>44</v>
      </c>
      <c r="C414" s="2">
        <v>23</v>
      </c>
      <c r="D414" s="2">
        <v>0</v>
      </c>
      <c r="E414" s="2" t="s">
        <v>460</v>
      </c>
      <c r="F414" s="2" t="s">
        <v>900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</row>
    <row r="415" spans="1:28" x14ac:dyDescent="0.2">
      <c r="A415" s="2" t="s">
        <v>938</v>
      </c>
      <c r="B415" s="2" t="s">
        <v>44</v>
      </c>
      <c r="C415" s="2">
        <v>23</v>
      </c>
      <c r="D415" s="2">
        <v>2</v>
      </c>
      <c r="E415" s="2" t="s">
        <v>95</v>
      </c>
      <c r="F415" s="2" t="s">
        <v>900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</row>
    <row r="416" spans="1:28" x14ac:dyDescent="0.2">
      <c r="A416" s="2" t="s">
        <v>939</v>
      </c>
      <c r="B416" s="2" t="s">
        <v>44</v>
      </c>
      <c r="C416" s="2">
        <v>24</v>
      </c>
      <c r="D416" s="2">
        <v>2</v>
      </c>
      <c r="E416" s="2" t="s">
        <v>176</v>
      </c>
      <c r="F416" s="2" t="s">
        <v>900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</row>
    <row r="417" spans="1:28" x14ac:dyDescent="0.2">
      <c r="A417" s="2" t="s">
        <v>940</v>
      </c>
      <c r="B417" s="2" t="s">
        <v>44</v>
      </c>
      <c r="C417" s="2">
        <v>28</v>
      </c>
      <c r="D417" s="2">
        <v>5</v>
      </c>
      <c r="E417" s="2" t="s">
        <v>874</v>
      </c>
      <c r="F417" s="2" t="s">
        <v>900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</row>
    <row r="418" spans="1:28" x14ac:dyDescent="0.2">
      <c r="A418" s="2" t="s">
        <v>941</v>
      </c>
      <c r="B418" s="2" t="s">
        <v>44</v>
      </c>
      <c r="C418" s="2">
        <v>27</v>
      </c>
      <c r="D418" s="2">
        <v>5</v>
      </c>
      <c r="E418" s="2" t="s">
        <v>942</v>
      </c>
      <c r="F418" s="2" t="s">
        <v>900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</row>
    <row r="419" spans="1:28" x14ac:dyDescent="0.2">
      <c r="A419" s="2" t="s">
        <v>943</v>
      </c>
      <c r="B419" s="2" t="s">
        <v>39</v>
      </c>
      <c r="C419" s="2">
        <v>31</v>
      </c>
      <c r="D419" s="2">
        <v>8</v>
      </c>
      <c r="E419" s="2" t="s">
        <v>69</v>
      </c>
      <c r="F419" s="2" t="s">
        <v>900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</row>
    <row r="420" spans="1:28" x14ac:dyDescent="0.2">
      <c r="A420" s="2" t="s">
        <v>944</v>
      </c>
      <c r="B420" s="2" t="s">
        <v>39</v>
      </c>
      <c r="C420" s="2">
        <v>27</v>
      </c>
      <c r="D420" s="2">
        <v>2</v>
      </c>
      <c r="E420" s="2" t="s">
        <v>615</v>
      </c>
      <c r="F420" s="2" t="s">
        <v>900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</row>
    <row r="421" spans="1:28" x14ac:dyDescent="0.2">
      <c r="A421" s="2" t="s">
        <v>945</v>
      </c>
      <c r="B421" s="2" t="s">
        <v>39</v>
      </c>
      <c r="C421" s="2">
        <v>27</v>
      </c>
      <c r="D421" s="2">
        <v>1</v>
      </c>
      <c r="E421" s="2" t="s">
        <v>81</v>
      </c>
      <c r="F421" s="2" t="s">
        <v>900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</row>
    <row r="422" spans="1:28" x14ac:dyDescent="0.2">
      <c r="A422" s="2" t="s">
        <v>946</v>
      </c>
      <c r="B422" s="2" t="s">
        <v>39</v>
      </c>
      <c r="C422" s="2">
        <v>27</v>
      </c>
      <c r="D422" s="2">
        <v>2</v>
      </c>
      <c r="E422" s="2" t="s">
        <v>947</v>
      </c>
      <c r="F422" s="2" t="s">
        <v>900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</row>
    <row r="423" spans="1:28" x14ac:dyDescent="0.2">
      <c r="A423" s="2" t="s">
        <v>948</v>
      </c>
      <c r="B423" s="2" t="s">
        <v>39</v>
      </c>
      <c r="C423" s="2">
        <v>24</v>
      </c>
      <c r="D423" s="2">
        <v>2</v>
      </c>
      <c r="E423" s="2" t="s">
        <v>819</v>
      </c>
      <c r="F423" s="2" t="s">
        <v>900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</row>
    <row r="424" spans="1:28" x14ac:dyDescent="0.2">
      <c r="A424" s="2" t="s">
        <v>969</v>
      </c>
      <c r="B424" s="2" t="s">
        <v>27</v>
      </c>
      <c r="C424" s="2">
        <v>22</v>
      </c>
      <c r="D424" s="2">
        <v>0</v>
      </c>
      <c r="E424" s="2" t="s">
        <v>77</v>
      </c>
      <c r="F424" s="2" t="s">
        <v>951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</row>
    <row r="425" spans="1:28" x14ac:dyDescent="0.2">
      <c r="A425" s="2" t="s">
        <v>970</v>
      </c>
      <c r="B425" s="2" t="s">
        <v>27</v>
      </c>
      <c r="C425" s="2">
        <v>25</v>
      </c>
      <c r="D425" s="2">
        <v>3</v>
      </c>
      <c r="E425" s="2" t="s">
        <v>201</v>
      </c>
      <c r="F425" s="2" t="s">
        <v>951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</row>
    <row r="426" spans="1:28" x14ac:dyDescent="0.2">
      <c r="A426" s="2" t="s">
        <v>971</v>
      </c>
      <c r="B426" s="2" t="s">
        <v>27</v>
      </c>
      <c r="C426" s="2">
        <v>27</v>
      </c>
      <c r="D426" s="2">
        <v>4</v>
      </c>
      <c r="E426" s="2" t="s">
        <v>556</v>
      </c>
      <c r="F426" s="2" t="s">
        <v>951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</row>
    <row r="427" spans="1:28" x14ac:dyDescent="0.2">
      <c r="A427" s="2" t="s">
        <v>972</v>
      </c>
      <c r="B427" s="2" t="s">
        <v>32</v>
      </c>
      <c r="C427" s="2">
        <v>24</v>
      </c>
      <c r="D427" s="2">
        <v>0</v>
      </c>
      <c r="E427" s="2" t="s">
        <v>973</v>
      </c>
      <c r="F427" s="2" t="s">
        <v>951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</row>
    <row r="428" spans="1:28" x14ac:dyDescent="0.2">
      <c r="A428" s="2" t="s">
        <v>974</v>
      </c>
      <c r="B428" s="2" t="s">
        <v>32</v>
      </c>
      <c r="C428" s="2">
        <v>28</v>
      </c>
      <c r="D428" s="2">
        <v>6</v>
      </c>
      <c r="E428" s="2" t="s">
        <v>975</v>
      </c>
      <c r="F428" s="2" t="s">
        <v>951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</row>
    <row r="429" spans="1:28" x14ac:dyDescent="0.2">
      <c r="A429" s="2" t="s">
        <v>976</v>
      </c>
      <c r="B429" s="2" t="s">
        <v>32</v>
      </c>
      <c r="C429" s="2">
        <v>24</v>
      </c>
      <c r="D429" s="2">
        <v>0</v>
      </c>
      <c r="E429" s="2" t="s">
        <v>977</v>
      </c>
      <c r="F429" s="2" t="s">
        <v>951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</row>
    <row r="430" spans="1:28" x14ac:dyDescent="0.2">
      <c r="A430" s="2" t="s">
        <v>978</v>
      </c>
      <c r="B430" s="2" t="s">
        <v>32</v>
      </c>
      <c r="C430" s="2">
        <v>25</v>
      </c>
      <c r="D430" s="2">
        <v>3</v>
      </c>
      <c r="E430" s="2" t="s">
        <v>473</v>
      </c>
      <c r="F430" s="2" t="s">
        <v>951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</row>
    <row r="431" spans="1:28" x14ac:dyDescent="0.2">
      <c r="A431" s="2" t="s">
        <v>979</v>
      </c>
      <c r="B431" s="2" t="s">
        <v>32</v>
      </c>
      <c r="C431" s="2">
        <v>24</v>
      </c>
      <c r="D431" s="2">
        <v>2</v>
      </c>
      <c r="E431" s="2" t="s">
        <v>615</v>
      </c>
      <c r="F431" s="2" t="s">
        <v>951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</row>
    <row r="432" spans="1:28" x14ac:dyDescent="0.2">
      <c r="A432" s="2" t="s">
        <v>980</v>
      </c>
      <c r="B432" s="2" t="s">
        <v>32</v>
      </c>
      <c r="C432" s="2">
        <v>21</v>
      </c>
      <c r="D432" s="2">
        <v>0</v>
      </c>
      <c r="E432" s="2" t="s">
        <v>454</v>
      </c>
      <c r="F432" s="2" t="s">
        <v>951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</row>
    <row r="433" spans="1:28" x14ac:dyDescent="0.2">
      <c r="A433" s="2" t="s">
        <v>981</v>
      </c>
      <c r="B433" s="2" t="s">
        <v>44</v>
      </c>
      <c r="C433" s="2">
        <v>31</v>
      </c>
      <c r="D433" s="2">
        <v>10</v>
      </c>
      <c r="E433" s="2" t="s">
        <v>422</v>
      </c>
      <c r="F433" s="2" t="s">
        <v>951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</row>
    <row r="434" spans="1:28" x14ac:dyDescent="0.2">
      <c r="A434" s="2" t="s">
        <v>982</v>
      </c>
      <c r="B434" s="2" t="s">
        <v>44</v>
      </c>
      <c r="C434" s="2">
        <v>24</v>
      </c>
      <c r="D434" s="2">
        <v>0</v>
      </c>
      <c r="E434" s="2" t="s">
        <v>79</v>
      </c>
      <c r="F434" s="2" t="s">
        <v>951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</row>
    <row r="435" spans="1:28" x14ac:dyDescent="0.2">
      <c r="A435" s="2" t="s">
        <v>983</v>
      </c>
      <c r="B435" s="2" t="s">
        <v>44</v>
      </c>
      <c r="C435" s="2">
        <v>22</v>
      </c>
      <c r="D435" s="2">
        <v>0</v>
      </c>
      <c r="E435" s="2" t="s">
        <v>77</v>
      </c>
      <c r="F435" s="2" t="s">
        <v>951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</row>
    <row r="436" spans="1:28" x14ac:dyDescent="0.2">
      <c r="A436" s="2" t="s">
        <v>984</v>
      </c>
      <c r="B436" s="2" t="s">
        <v>44</v>
      </c>
      <c r="C436" s="2">
        <v>27</v>
      </c>
      <c r="D436" s="2">
        <v>2</v>
      </c>
      <c r="E436" s="2" t="s">
        <v>985</v>
      </c>
      <c r="F436" s="2" t="s">
        <v>951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</row>
    <row r="437" spans="1:28" x14ac:dyDescent="0.2">
      <c r="A437" s="2" t="s">
        <v>986</v>
      </c>
      <c r="B437" s="2" t="s">
        <v>44</v>
      </c>
      <c r="C437" s="2">
        <v>26</v>
      </c>
      <c r="D437" s="2">
        <v>3</v>
      </c>
      <c r="E437" s="2" t="s">
        <v>512</v>
      </c>
      <c r="F437" s="2" t="s">
        <v>951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</row>
    <row r="438" spans="1:28" x14ac:dyDescent="0.2">
      <c r="A438" s="2" t="s">
        <v>987</v>
      </c>
      <c r="B438" s="2" t="s">
        <v>44</v>
      </c>
      <c r="C438" s="2">
        <v>27</v>
      </c>
      <c r="D438" s="2">
        <v>2</v>
      </c>
      <c r="E438" s="2" t="s">
        <v>293</v>
      </c>
      <c r="F438" s="2" t="s">
        <v>951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</row>
    <row r="439" spans="1:28" x14ac:dyDescent="0.2">
      <c r="A439" s="2" t="s">
        <v>988</v>
      </c>
      <c r="B439" s="2" t="s">
        <v>44</v>
      </c>
      <c r="C439" s="2">
        <v>21</v>
      </c>
      <c r="D439" s="2">
        <v>0</v>
      </c>
      <c r="E439" s="2" t="s">
        <v>77</v>
      </c>
      <c r="F439" s="2" t="s">
        <v>951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</row>
    <row r="440" spans="1:28" x14ac:dyDescent="0.2">
      <c r="A440" s="2" t="s">
        <v>989</v>
      </c>
      <c r="B440" s="2" t="s">
        <v>44</v>
      </c>
      <c r="C440" s="2">
        <v>23</v>
      </c>
      <c r="D440" s="2">
        <v>2</v>
      </c>
      <c r="E440" s="2" t="s">
        <v>141</v>
      </c>
      <c r="F440" s="2" t="s">
        <v>951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</row>
    <row r="441" spans="1:28" x14ac:dyDescent="0.2">
      <c r="A441" s="2" t="s">
        <v>990</v>
      </c>
      <c r="B441" s="2" t="s">
        <v>44</v>
      </c>
      <c r="C441" s="2">
        <v>27</v>
      </c>
      <c r="D441" s="2">
        <v>3</v>
      </c>
      <c r="E441" s="2" t="s">
        <v>556</v>
      </c>
      <c r="F441" s="2" t="s">
        <v>951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</row>
    <row r="442" spans="1:28" x14ac:dyDescent="0.2">
      <c r="A442" s="2" t="s">
        <v>991</v>
      </c>
      <c r="B442" s="2" t="s">
        <v>44</v>
      </c>
      <c r="C442" s="2">
        <v>28</v>
      </c>
      <c r="D442" s="2">
        <v>6</v>
      </c>
      <c r="E442" s="2" t="s">
        <v>460</v>
      </c>
      <c r="F442" s="2" t="s">
        <v>951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</row>
    <row r="443" spans="1:28" x14ac:dyDescent="0.2">
      <c r="A443" s="2" t="s">
        <v>992</v>
      </c>
      <c r="B443" s="2" t="s">
        <v>44</v>
      </c>
      <c r="C443" s="2">
        <v>23</v>
      </c>
      <c r="D443" s="2">
        <v>0</v>
      </c>
      <c r="E443" s="2" t="s">
        <v>744</v>
      </c>
      <c r="F443" s="2" t="s">
        <v>951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</row>
    <row r="444" spans="1:28" x14ac:dyDescent="0.2">
      <c r="A444" s="2" t="s">
        <v>993</v>
      </c>
      <c r="B444" s="2" t="s">
        <v>39</v>
      </c>
      <c r="C444" s="2">
        <v>29</v>
      </c>
      <c r="D444" s="2">
        <v>6</v>
      </c>
      <c r="E444" s="2" t="s">
        <v>300</v>
      </c>
      <c r="F444" s="2" t="s">
        <v>951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</row>
    <row r="445" spans="1:28" x14ac:dyDescent="0.2">
      <c r="A445" s="2" t="s">
        <v>994</v>
      </c>
      <c r="B445" s="2" t="s">
        <v>39</v>
      </c>
      <c r="C445" s="2">
        <v>22</v>
      </c>
      <c r="D445" s="2">
        <v>0</v>
      </c>
      <c r="E445" s="2" t="s">
        <v>473</v>
      </c>
      <c r="F445" s="2" t="s">
        <v>951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</row>
    <row r="446" spans="1:28" x14ac:dyDescent="0.2">
      <c r="A446" s="2" t="s">
        <v>995</v>
      </c>
      <c r="B446" s="2" t="s">
        <v>39</v>
      </c>
      <c r="C446" s="2">
        <v>25</v>
      </c>
      <c r="D446" s="2">
        <v>1</v>
      </c>
      <c r="E446" s="2" t="s">
        <v>201</v>
      </c>
      <c r="F446" s="2" t="s">
        <v>951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</row>
    <row r="447" spans="1:28" x14ac:dyDescent="0.2">
      <c r="A447" s="2" t="s">
        <v>996</v>
      </c>
      <c r="B447" s="2" t="s">
        <v>39</v>
      </c>
      <c r="C447" s="2">
        <v>24</v>
      </c>
      <c r="D447" s="2">
        <v>2</v>
      </c>
      <c r="E447" s="2" t="s">
        <v>171</v>
      </c>
      <c r="F447" s="2" t="s">
        <v>951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</row>
    <row r="448" spans="1:28" x14ac:dyDescent="0.2">
      <c r="A448" s="2" t="s">
        <v>997</v>
      </c>
      <c r="B448" s="2" t="s">
        <v>39</v>
      </c>
      <c r="C448" s="2">
        <v>25</v>
      </c>
      <c r="D448" s="2">
        <v>3</v>
      </c>
      <c r="E448" s="2" t="s">
        <v>998</v>
      </c>
      <c r="F448" s="2" t="s">
        <v>951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</row>
    <row r="449" spans="1:28" x14ac:dyDescent="0.2">
      <c r="A449" s="2" t="s">
        <v>1036</v>
      </c>
      <c r="B449" s="2" t="s">
        <v>27</v>
      </c>
      <c r="C449" s="2">
        <v>24</v>
      </c>
      <c r="D449" s="2">
        <v>0</v>
      </c>
      <c r="E449" s="2" t="s">
        <v>422</v>
      </c>
      <c r="F449" s="2" t="s">
        <v>1021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</row>
    <row r="450" spans="1:28" x14ac:dyDescent="0.2">
      <c r="A450" s="2" t="s">
        <v>1037</v>
      </c>
      <c r="B450" s="2" t="s">
        <v>27</v>
      </c>
      <c r="C450" s="2">
        <v>31</v>
      </c>
      <c r="D450" s="2">
        <v>8</v>
      </c>
      <c r="E450" s="2" t="s">
        <v>1038</v>
      </c>
      <c r="F450" s="2" t="s">
        <v>1021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</row>
    <row r="451" spans="1:28" x14ac:dyDescent="0.2">
      <c r="A451" s="2" t="s">
        <v>1039</v>
      </c>
      <c r="B451" s="2" t="s">
        <v>27</v>
      </c>
      <c r="C451" s="2">
        <v>37</v>
      </c>
      <c r="D451" s="2">
        <v>14</v>
      </c>
      <c r="E451" s="2" t="s">
        <v>733</v>
      </c>
      <c r="F451" s="2" t="s">
        <v>1021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</row>
    <row r="452" spans="1:28" x14ac:dyDescent="0.2">
      <c r="A452" s="2" t="s">
        <v>1040</v>
      </c>
      <c r="B452" s="2" t="s">
        <v>27</v>
      </c>
      <c r="C452" s="2">
        <v>24</v>
      </c>
      <c r="D452" s="2">
        <v>0</v>
      </c>
      <c r="E452" s="2" t="s">
        <v>63</v>
      </c>
      <c r="F452" s="2" t="s">
        <v>1021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</row>
    <row r="453" spans="1:28" x14ac:dyDescent="0.2">
      <c r="A453" s="2" t="s">
        <v>1041</v>
      </c>
      <c r="B453" s="2" t="s">
        <v>32</v>
      </c>
      <c r="C453" s="2">
        <v>30</v>
      </c>
      <c r="D453" s="2">
        <v>8</v>
      </c>
      <c r="E453" s="2" t="s">
        <v>247</v>
      </c>
      <c r="F453" s="2" t="s">
        <v>1021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</row>
    <row r="454" spans="1:28" x14ac:dyDescent="0.2">
      <c r="A454" s="2" t="s">
        <v>1042</v>
      </c>
      <c r="B454" s="2" t="s">
        <v>32</v>
      </c>
      <c r="C454" s="2">
        <v>33</v>
      </c>
      <c r="D454" s="2">
        <v>10</v>
      </c>
      <c r="E454" s="2" t="s">
        <v>239</v>
      </c>
      <c r="F454" s="2" t="s">
        <v>1021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</row>
    <row r="455" spans="1:28" x14ac:dyDescent="0.2">
      <c r="A455" s="2" t="s">
        <v>1043</v>
      </c>
      <c r="B455" s="2" t="s">
        <v>32</v>
      </c>
      <c r="C455" s="2">
        <v>25</v>
      </c>
      <c r="D455" s="2">
        <v>0</v>
      </c>
      <c r="E455" s="2" t="s">
        <v>473</v>
      </c>
      <c r="F455" s="2" t="s">
        <v>1021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</row>
    <row r="456" spans="1:28" x14ac:dyDescent="0.2">
      <c r="A456" s="2" t="s">
        <v>1044</v>
      </c>
      <c r="B456" s="2" t="s">
        <v>32</v>
      </c>
      <c r="C456" s="2">
        <v>25</v>
      </c>
      <c r="D456" s="2">
        <v>4</v>
      </c>
      <c r="E456" s="2" t="s">
        <v>153</v>
      </c>
      <c r="F456" s="2" t="s">
        <v>1021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</row>
    <row r="457" spans="1:28" x14ac:dyDescent="0.2">
      <c r="A457" s="2" t="s">
        <v>1045</v>
      </c>
      <c r="B457" s="2" t="s">
        <v>32</v>
      </c>
      <c r="C457" s="2">
        <v>22</v>
      </c>
      <c r="D457" s="2">
        <v>0</v>
      </c>
      <c r="E457" s="2" t="s">
        <v>1046</v>
      </c>
      <c r="F457" s="2" t="s">
        <v>1021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</row>
    <row r="458" spans="1:28" x14ac:dyDescent="0.2">
      <c r="A458" s="2" t="s">
        <v>1047</v>
      </c>
      <c r="B458" s="2" t="s">
        <v>32</v>
      </c>
      <c r="C458" s="2">
        <v>26</v>
      </c>
      <c r="D458" s="2">
        <v>3</v>
      </c>
      <c r="E458" s="2" t="s">
        <v>1048</v>
      </c>
      <c r="F458" s="2" t="s">
        <v>1021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</row>
    <row r="459" spans="1:28" x14ac:dyDescent="0.2">
      <c r="A459" s="2" t="s">
        <v>1049</v>
      </c>
      <c r="B459" s="2" t="s">
        <v>32</v>
      </c>
      <c r="C459" s="2">
        <v>23</v>
      </c>
      <c r="D459" s="2">
        <v>0</v>
      </c>
      <c r="E459" s="2" t="s">
        <v>171</v>
      </c>
      <c r="F459" s="2" t="s">
        <v>1021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</row>
    <row r="460" spans="1:28" x14ac:dyDescent="0.2">
      <c r="A460" s="2" t="s">
        <v>1050</v>
      </c>
      <c r="B460" s="2" t="s">
        <v>44</v>
      </c>
      <c r="C460" s="2">
        <v>30</v>
      </c>
      <c r="D460" s="2">
        <v>9</v>
      </c>
      <c r="E460" s="2" t="s">
        <v>279</v>
      </c>
      <c r="F460" s="2" t="s">
        <v>1021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</row>
    <row r="461" spans="1:28" x14ac:dyDescent="0.2">
      <c r="A461" s="2" t="s">
        <v>1051</v>
      </c>
      <c r="B461" s="2" t="s">
        <v>44</v>
      </c>
      <c r="C461" s="2">
        <v>30</v>
      </c>
      <c r="D461" s="2">
        <v>5</v>
      </c>
      <c r="E461" s="2" t="s">
        <v>1052</v>
      </c>
      <c r="F461" s="2" t="s">
        <v>1021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</row>
    <row r="462" spans="1:28" x14ac:dyDescent="0.2">
      <c r="A462" s="2" t="s">
        <v>1053</v>
      </c>
      <c r="B462" s="2" t="s">
        <v>44</v>
      </c>
      <c r="C462" s="2">
        <v>30</v>
      </c>
      <c r="D462" s="2">
        <v>6</v>
      </c>
      <c r="E462" s="2" t="s">
        <v>1054</v>
      </c>
      <c r="F462" s="2" t="s">
        <v>1021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</row>
    <row r="463" spans="1:28" x14ac:dyDescent="0.2">
      <c r="A463" s="2" t="s">
        <v>1055</v>
      </c>
      <c r="B463" s="2" t="s">
        <v>44</v>
      </c>
      <c r="C463" s="2">
        <v>30</v>
      </c>
      <c r="D463" s="2">
        <v>8</v>
      </c>
      <c r="E463" s="2" t="s">
        <v>398</v>
      </c>
      <c r="F463" s="2" t="s">
        <v>1021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</row>
    <row r="464" spans="1:28" x14ac:dyDescent="0.2">
      <c r="A464" s="2" t="s">
        <v>1056</v>
      </c>
      <c r="B464" s="2" t="s">
        <v>44</v>
      </c>
      <c r="C464" s="2">
        <v>27</v>
      </c>
      <c r="D464" s="2">
        <v>1</v>
      </c>
      <c r="E464" s="2" t="s">
        <v>213</v>
      </c>
      <c r="F464" s="2" t="s">
        <v>1021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</row>
    <row r="465" spans="1:28" x14ac:dyDescent="0.2">
      <c r="A465" s="2" t="s">
        <v>1057</v>
      </c>
      <c r="B465" s="2" t="s">
        <v>44</v>
      </c>
      <c r="C465" s="2">
        <v>26</v>
      </c>
      <c r="D465" s="2">
        <v>4</v>
      </c>
      <c r="E465" s="2" t="s">
        <v>277</v>
      </c>
      <c r="F465" s="2" t="s">
        <v>1021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</row>
    <row r="466" spans="1:28" x14ac:dyDescent="0.2">
      <c r="A466" s="2" t="s">
        <v>1058</v>
      </c>
      <c r="B466" s="2" t="s">
        <v>44</v>
      </c>
      <c r="C466" s="2">
        <v>27</v>
      </c>
      <c r="D466" s="2">
        <v>4</v>
      </c>
      <c r="E466" s="2" t="s">
        <v>460</v>
      </c>
      <c r="F466" s="2" t="s">
        <v>1021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</row>
    <row r="467" spans="1:28" x14ac:dyDescent="0.2">
      <c r="A467" s="2" t="s">
        <v>1059</v>
      </c>
      <c r="B467" s="2" t="s">
        <v>44</v>
      </c>
      <c r="C467" s="2">
        <v>27</v>
      </c>
      <c r="D467" s="2">
        <v>6</v>
      </c>
      <c r="E467" s="2" t="s">
        <v>153</v>
      </c>
      <c r="F467" s="2" t="s">
        <v>1021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</row>
    <row r="468" spans="1:28" x14ac:dyDescent="0.2">
      <c r="A468" s="2" t="s">
        <v>1060</v>
      </c>
      <c r="B468" s="2" t="s">
        <v>44</v>
      </c>
      <c r="C468" s="2">
        <v>22</v>
      </c>
      <c r="D468" s="2">
        <v>0</v>
      </c>
      <c r="E468" s="2" t="s">
        <v>133</v>
      </c>
      <c r="F468" s="2" t="s">
        <v>1021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</row>
    <row r="469" spans="1:28" x14ac:dyDescent="0.2">
      <c r="A469" s="2" t="s">
        <v>1061</v>
      </c>
      <c r="B469" s="2" t="s">
        <v>44</v>
      </c>
      <c r="C469" s="2">
        <v>26</v>
      </c>
      <c r="D469" s="2">
        <v>1</v>
      </c>
      <c r="E469" s="2" t="s">
        <v>75</v>
      </c>
      <c r="F469" s="2" t="s">
        <v>1021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</row>
    <row r="470" spans="1:28" x14ac:dyDescent="0.2">
      <c r="A470" s="2" t="s">
        <v>1062</v>
      </c>
      <c r="B470" s="2" t="s">
        <v>44</v>
      </c>
      <c r="C470" s="2">
        <v>26</v>
      </c>
      <c r="D470" s="2">
        <v>1</v>
      </c>
      <c r="E470" s="2" t="s">
        <v>828</v>
      </c>
      <c r="F470" s="2" t="s">
        <v>1021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</row>
    <row r="471" spans="1:28" x14ac:dyDescent="0.2">
      <c r="A471" s="2" t="s">
        <v>1063</v>
      </c>
      <c r="B471" s="2" t="s">
        <v>39</v>
      </c>
      <c r="C471" s="2">
        <v>25</v>
      </c>
      <c r="D471" s="2">
        <v>0</v>
      </c>
      <c r="E471" s="2" t="s">
        <v>203</v>
      </c>
      <c r="F471" s="2" t="s">
        <v>1021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</row>
    <row r="472" spans="1:28" x14ac:dyDescent="0.2">
      <c r="A472" s="2" t="s">
        <v>1064</v>
      </c>
      <c r="B472" s="2" t="s">
        <v>39</v>
      </c>
      <c r="C472" s="2">
        <v>28</v>
      </c>
      <c r="D472" s="2">
        <v>7</v>
      </c>
      <c r="E472" s="2" t="s">
        <v>97</v>
      </c>
      <c r="F472" s="2" t="s">
        <v>1021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</row>
    <row r="473" spans="1:28" x14ac:dyDescent="0.2">
      <c r="A473" s="2" t="s">
        <v>1065</v>
      </c>
      <c r="B473" s="2" t="s">
        <v>39</v>
      </c>
      <c r="C473" s="2">
        <v>26</v>
      </c>
      <c r="D473" s="2">
        <v>3</v>
      </c>
      <c r="E473" s="2" t="s">
        <v>419</v>
      </c>
      <c r="F473" s="2" t="s">
        <v>1021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</row>
    <row r="474" spans="1:28" x14ac:dyDescent="0.2">
      <c r="A474" s="2" t="s">
        <v>1066</v>
      </c>
      <c r="B474" s="2" t="s">
        <v>39</v>
      </c>
      <c r="C474" s="2">
        <v>28</v>
      </c>
      <c r="D474" s="2">
        <v>7</v>
      </c>
      <c r="E474" s="2" t="s">
        <v>153</v>
      </c>
      <c r="F474" s="2" t="s">
        <v>1021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</row>
    <row r="475" spans="1:28" x14ac:dyDescent="0.2">
      <c r="A475" s="2" t="s">
        <v>1067</v>
      </c>
      <c r="B475" s="2" t="s">
        <v>39</v>
      </c>
      <c r="C475" s="2">
        <v>22</v>
      </c>
      <c r="D475" s="2">
        <v>0</v>
      </c>
      <c r="E475" s="2" t="s">
        <v>363</v>
      </c>
      <c r="F475" s="2" t="s">
        <v>1021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</row>
    <row r="476" spans="1:28" x14ac:dyDescent="0.2">
      <c r="A476" s="2" t="s">
        <v>1088</v>
      </c>
      <c r="B476" s="2" t="s">
        <v>27</v>
      </c>
      <c r="C476" s="2">
        <v>24</v>
      </c>
      <c r="D476" s="2">
        <v>0</v>
      </c>
      <c r="E476" s="2" t="s">
        <v>1089</v>
      </c>
      <c r="F476" s="2" t="s">
        <v>1070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</row>
    <row r="477" spans="1:28" x14ac:dyDescent="0.2">
      <c r="A477" s="2" t="s">
        <v>1090</v>
      </c>
      <c r="B477" s="2" t="s">
        <v>27</v>
      </c>
      <c r="C477" s="2">
        <v>25</v>
      </c>
      <c r="D477" s="2">
        <v>3</v>
      </c>
      <c r="E477" s="2" t="s">
        <v>153</v>
      </c>
      <c r="F477" s="2" t="s">
        <v>1070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</row>
    <row r="478" spans="1:28" x14ac:dyDescent="0.2">
      <c r="A478" s="2" t="s">
        <v>1091</v>
      </c>
      <c r="B478" s="2" t="s">
        <v>27</v>
      </c>
      <c r="C478" s="2">
        <v>26</v>
      </c>
      <c r="D478" s="2">
        <v>0</v>
      </c>
      <c r="E478" s="2" t="s">
        <v>560</v>
      </c>
      <c r="F478" s="2" t="s">
        <v>1070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</row>
    <row r="479" spans="1:28" x14ac:dyDescent="0.2">
      <c r="A479" s="2" t="s">
        <v>1092</v>
      </c>
      <c r="B479" s="2" t="s">
        <v>27</v>
      </c>
      <c r="C479" s="2">
        <v>28</v>
      </c>
      <c r="D479" s="2">
        <v>3</v>
      </c>
      <c r="E479" s="2" t="s">
        <v>1093</v>
      </c>
      <c r="F479" s="2" t="s">
        <v>1070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</row>
    <row r="480" spans="1:28" x14ac:dyDescent="0.2">
      <c r="A480" s="2" t="s">
        <v>1094</v>
      </c>
      <c r="B480" s="2" t="s">
        <v>32</v>
      </c>
      <c r="C480" s="2">
        <v>21</v>
      </c>
      <c r="D480" s="2">
        <v>0</v>
      </c>
      <c r="E480" s="2" t="s">
        <v>454</v>
      </c>
      <c r="F480" s="2" t="s">
        <v>1070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</row>
    <row r="481" spans="1:28" x14ac:dyDescent="0.2">
      <c r="A481" s="2" t="s">
        <v>1095</v>
      </c>
      <c r="B481" s="2" t="s">
        <v>32</v>
      </c>
      <c r="C481" s="2">
        <v>24</v>
      </c>
      <c r="D481" s="2">
        <v>3</v>
      </c>
      <c r="E481" s="2" t="s">
        <v>85</v>
      </c>
      <c r="F481" s="2" t="s">
        <v>1070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</row>
    <row r="482" spans="1:28" x14ac:dyDescent="0.2">
      <c r="A482" s="2" t="s">
        <v>1096</v>
      </c>
      <c r="B482" s="2" t="s">
        <v>32</v>
      </c>
      <c r="C482" s="2">
        <v>23</v>
      </c>
      <c r="D482" s="2">
        <v>0</v>
      </c>
      <c r="E482" s="2" t="s">
        <v>81</v>
      </c>
      <c r="F482" s="2" t="s">
        <v>1070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</row>
    <row r="483" spans="1:28" x14ac:dyDescent="0.2">
      <c r="A483" s="2" t="s">
        <v>1097</v>
      </c>
      <c r="B483" s="2" t="s">
        <v>32</v>
      </c>
      <c r="C483" s="2">
        <v>26</v>
      </c>
      <c r="D483" s="2">
        <v>4</v>
      </c>
      <c r="E483" s="2" t="s">
        <v>85</v>
      </c>
      <c r="F483" s="2" t="s">
        <v>1070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</row>
    <row r="484" spans="1:28" x14ac:dyDescent="0.2">
      <c r="A484" s="2" t="s">
        <v>1098</v>
      </c>
      <c r="B484" s="2" t="s">
        <v>32</v>
      </c>
      <c r="C484" s="2">
        <v>31</v>
      </c>
      <c r="D484" s="2">
        <v>8</v>
      </c>
      <c r="E484" s="2" t="s">
        <v>63</v>
      </c>
      <c r="F484" s="2" t="s">
        <v>1070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</row>
    <row r="485" spans="1:28" x14ac:dyDescent="0.2">
      <c r="A485" s="2" t="s">
        <v>1099</v>
      </c>
      <c r="B485" s="2" t="s">
        <v>32</v>
      </c>
      <c r="C485" s="2">
        <v>26</v>
      </c>
      <c r="D485" s="2">
        <v>5</v>
      </c>
      <c r="E485" s="2" t="s">
        <v>512</v>
      </c>
      <c r="F485" s="2" t="s">
        <v>1070</v>
      </c>
      <c r="G485" s="2">
        <v>0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</row>
    <row r="486" spans="1:28" x14ac:dyDescent="0.2">
      <c r="A486" s="2" t="s">
        <v>1100</v>
      </c>
      <c r="B486" s="2" t="s">
        <v>44</v>
      </c>
      <c r="C486" s="2">
        <v>27</v>
      </c>
      <c r="D486" s="2">
        <v>5</v>
      </c>
      <c r="E486" s="2" t="s">
        <v>398</v>
      </c>
      <c r="F486" s="2" t="s">
        <v>1070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</row>
    <row r="487" spans="1:28" x14ac:dyDescent="0.2">
      <c r="A487" s="2" t="s">
        <v>1101</v>
      </c>
      <c r="B487" s="2" t="s">
        <v>44</v>
      </c>
      <c r="C487" s="2">
        <v>30</v>
      </c>
      <c r="D487" s="2">
        <v>7</v>
      </c>
      <c r="E487" s="2" t="s">
        <v>392</v>
      </c>
      <c r="F487" s="2" t="s">
        <v>1070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</row>
    <row r="488" spans="1:28" x14ac:dyDescent="0.2">
      <c r="A488" s="2" t="s">
        <v>1102</v>
      </c>
      <c r="B488" s="2" t="s">
        <v>44</v>
      </c>
      <c r="C488" s="2">
        <v>24</v>
      </c>
      <c r="D488" s="2">
        <v>0</v>
      </c>
      <c r="E488" s="2" t="s">
        <v>1103</v>
      </c>
      <c r="F488" s="2" t="s">
        <v>1070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</row>
    <row r="489" spans="1:28" x14ac:dyDescent="0.2">
      <c r="A489" s="2" t="s">
        <v>1104</v>
      </c>
      <c r="B489" s="2" t="s">
        <v>44</v>
      </c>
      <c r="C489" s="2">
        <v>28</v>
      </c>
      <c r="D489" s="2">
        <v>4</v>
      </c>
      <c r="E489" s="2" t="s">
        <v>291</v>
      </c>
      <c r="F489" s="2" t="s">
        <v>1070</v>
      </c>
      <c r="G489" s="2">
        <v>0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</row>
    <row r="490" spans="1:28" x14ac:dyDescent="0.2">
      <c r="A490" s="2" t="s">
        <v>1105</v>
      </c>
      <c r="B490" s="2" t="s">
        <v>44</v>
      </c>
      <c r="C490" s="2">
        <v>24</v>
      </c>
      <c r="D490" s="2">
        <v>0</v>
      </c>
      <c r="E490" s="2" t="s">
        <v>1093</v>
      </c>
      <c r="F490" s="2" t="s">
        <v>1070</v>
      </c>
      <c r="G490" s="2">
        <v>0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</row>
    <row r="491" spans="1:28" x14ac:dyDescent="0.2">
      <c r="A491" s="2" t="s">
        <v>1106</v>
      </c>
      <c r="B491" s="2" t="s">
        <v>44</v>
      </c>
      <c r="C491" s="2">
        <v>23</v>
      </c>
      <c r="D491" s="2">
        <v>0</v>
      </c>
      <c r="E491" s="2" t="s">
        <v>515</v>
      </c>
      <c r="F491" s="2" t="s">
        <v>1070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</row>
    <row r="492" spans="1:28" x14ac:dyDescent="0.2">
      <c r="A492" s="2" t="s">
        <v>1107</v>
      </c>
      <c r="B492" s="2" t="s">
        <v>44</v>
      </c>
      <c r="C492" s="2">
        <v>22</v>
      </c>
      <c r="D492" s="2">
        <v>0</v>
      </c>
      <c r="E492" s="2" t="s">
        <v>97</v>
      </c>
      <c r="F492" s="2" t="s">
        <v>1070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</row>
    <row r="493" spans="1:28" x14ac:dyDescent="0.2">
      <c r="A493" s="2" t="s">
        <v>1108</v>
      </c>
      <c r="B493" s="2" t="s">
        <v>44</v>
      </c>
      <c r="C493" s="2">
        <v>29</v>
      </c>
      <c r="D493" s="2">
        <v>7</v>
      </c>
      <c r="E493" s="2" t="s">
        <v>1109</v>
      </c>
      <c r="F493" s="2" t="s">
        <v>1070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</row>
    <row r="494" spans="1:28" x14ac:dyDescent="0.2">
      <c r="A494" s="2" t="s">
        <v>1110</v>
      </c>
      <c r="B494" s="2" t="s">
        <v>44</v>
      </c>
      <c r="C494" s="2">
        <v>24</v>
      </c>
      <c r="D494" s="2">
        <v>0</v>
      </c>
      <c r="E494" s="2" t="s">
        <v>239</v>
      </c>
      <c r="F494" s="2" t="s">
        <v>1070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</row>
    <row r="495" spans="1:28" x14ac:dyDescent="0.2">
      <c r="A495" s="2" t="s">
        <v>1111</v>
      </c>
      <c r="B495" s="2" t="s">
        <v>44</v>
      </c>
      <c r="C495" s="2">
        <v>24</v>
      </c>
      <c r="D495" s="2">
        <v>3</v>
      </c>
      <c r="E495" s="2" t="s">
        <v>176</v>
      </c>
      <c r="F495" s="2" t="s">
        <v>1070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</row>
    <row r="496" spans="1:28" x14ac:dyDescent="0.2">
      <c r="A496" s="2" t="s">
        <v>1112</v>
      </c>
      <c r="B496" s="2" t="s">
        <v>44</v>
      </c>
      <c r="C496" s="2">
        <v>24</v>
      </c>
      <c r="D496" s="2">
        <v>2</v>
      </c>
      <c r="E496" s="2" t="s">
        <v>153</v>
      </c>
      <c r="F496" s="2" t="s">
        <v>1070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</row>
    <row r="497" spans="1:28" x14ac:dyDescent="0.2">
      <c r="A497" s="2" t="s">
        <v>1113</v>
      </c>
      <c r="B497" s="2" t="s">
        <v>44</v>
      </c>
      <c r="C497" s="2">
        <v>28</v>
      </c>
      <c r="D497" s="2">
        <v>4</v>
      </c>
      <c r="E497" s="2" t="s">
        <v>293</v>
      </c>
      <c r="F497" s="2" t="s">
        <v>1070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</row>
    <row r="498" spans="1:28" x14ac:dyDescent="0.2">
      <c r="A498" s="2" t="s">
        <v>1114</v>
      </c>
      <c r="B498" s="2" t="s">
        <v>39</v>
      </c>
      <c r="C498" s="2">
        <v>25</v>
      </c>
      <c r="D498" s="2">
        <v>0</v>
      </c>
      <c r="E498" s="2" t="s">
        <v>1115</v>
      </c>
      <c r="F498" s="2" t="s">
        <v>1070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</row>
    <row r="499" spans="1:28" x14ac:dyDescent="0.2">
      <c r="A499" s="2" t="s">
        <v>1116</v>
      </c>
      <c r="B499" s="2" t="s">
        <v>39</v>
      </c>
      <c r="C499" s="2">
        <v>23</v>
      </c>
      <c r="D499" s="2">
        <v>0</v>
      </c>
      <c r="E499" s="2" t="s">
        <v>1117</v>
      </c>
      <c r="F499" s="2" t="s">
        <v>1070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</row>
    <row r="500" spans="1:28" x14ac:dyDescent="0.2">
      <c r="A500" s="2" t="s">
        <v>1118</v>
      </c>
      <c r="B500" s="2" t="s">
        <v>39</v>
      </c>
      <c r="C500" s="2">
        <v>30</v>
      </c>
      <c r="D500" s="2">
        <v>8</v>
      </c>
      <c r="E500" s="2" t="s">
        <v>211</v>
      </c>
      <c r="F500" s="2" t="s">
        <v>1070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</row>
    <row r="501" spans="1:28" x14ac:dyDescent="0.2">
      <c r="A501" s="2" t="s">
        <v>1119</v>
      </c>
      <c r="B501" s="2" t="s">
        <v>39</v>
      </c>
      <c r="C501" s="2">
        <v>29</v>
      </c>
      <c r="D501" s="2">
        <v>5</v>
      </c>
      <c r="E501" s="2" t="s">
        <v>1120</v>
      </c>
      <c r="F501" s="2" t="s">
        <v>1070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</row>
    <row r="502" spans="1:28" x14ac:dyDescent="0.2">
      <c r="A502" s="2" t="s">
        <v>1138</v>
      </c>
      <c r="B502" s="2" t="s">
        <v>27</v>
      </c>
      <c r="C502" s="2">
        <v>34</v>
      </c>
      <c r="D502" s="2">
        <v>1</v>
      </c>
      <c r="E502" s="2" t="s">
        <v>733</v>
      </c>
      <c r="F502" s="2" t="s">
        <v>1123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</row>
    <row r="503" spans="1:28" x14ac:dyDescent="0.2">
      <c r="A503" s="2" t="s">
        <v>1139</v>
      </c>
      <c r="B503" s="2" t="s">
        <v>27</v>
      </c>
      <c r="C503" s="2">
        <v>25</v>
      </c>
      <c r="D503" s="2">
        <v>0</v>
      </c>
      <c r="E503" s="2" t="s">
        <v>81</v>
      </c>
      <c r="F503" s="2" t="s">
        <v>1123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</row>
    <row r="504" spans="1:28" x14ac:dyDescent="0.2">
      <c r="A504" s="2" t="s">
        <v>1140</v>
      </c>
      <c r="B504" s="2" t="s">
        <v>27</v>
      </c>
      <c r="C504" s="2">
        <v>28</v>
      </c>
      <c r="D504" s="2">
        <v>4</v>
      </c>
      <c r="E504" s="2" t="s">
        <v>237</v>
      </c>
      <c r="F504" s="2" t="s">
        <v>1123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</row>
    <row r="505" spans="1:28" x14ac:dyDescent="0.2">
      <c r="A505" s="2" t="s">
        <v>1141</v>
      </c>
      <c r="B505" s="2" t="s">
        <v>32</v>
      </c>
      <c r="C505" s="2">
        <v>25</v>
      </c>
      <c r="D505" s="2">
        <v>0</v>
      </c>
      <c r="E505" s="2" t="s">
        <v>163</v>
      </c>
      <c r="F505" s="2" t="s">
        <v>1123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</row>
    <row r="506" spans="1:28" x14ac:dyDescent="0.2">
      <c r="A506" s="2" t="s">
        <v>1142</v>
      </c>
      <c r="B506" s="2" t="s">
        <v>32</v>
      </c>
      <c r="C506" s="2">
        <v>25</v>
      </c>
      <c r="D506" s="2">
        <v>4</v>
      </c>
      <c r="E506" s="2" t="s">
        <v>293</v>
      </c>
      <c r="F506" s="2" t="s">
        <v>1123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</row>
    <row r="507" spans="1:28" x14ac:dyDescent="0.2">
      <c r="A507" s="2" t="s">
        <v>1143</v>
      </c>
      <c r="B507" s="2" t="s">
        <v>32</v>
      </c>
      <c r="C507" s="2">
        <v>22</v>
      </c>
      <c r="D507" s="2">
        <v>0</v>
      </c>
      <c r="E507" s="2" t="s">
        <v>334</v>
      </c>
      <c r="F507" s="2" t="s">
        <v>1123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</row>
    <row r="508" spans="1:28" x14ac:dyDescent="0.2">
      <c r="A508" s="2" t="s">
        <v>1144</v>
      </c>
      <c r="B508" s="2" t="s">
        <v>32</v>
      </c>
      <c r="C508" s="2">
        <v>25</v>
      </c>
      <c r="D508" s="2">
        <v>2</v>
      </c>
      <c r="E508" s="2" t="s">
        <v>243</v>
      </c>
      <c r="F508" s="2" t="s">
        <v>1123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</row>
    <row r="509" spans="1:28" x14ac:dyDescent="0.2">
      <c r="A509" s="2" t="s">
        <v>1145</v>
      </c>
      <c r="B509" s="2" t="s">
        <v>44</v>
      </c>
      <c r="C509" s="2">
        <v>21</v>
      </c>
      <c r="D509" s="2">
        <v>0</v>
      </c>
      <c r="E509" s="2" t="s">
        <v>79</v>
      </c>
      <c r="F509" s="2" t="s">
        <v>1123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</row>
    <row r="510" spans="1:28" x14ac:dyDescent="0.2">
      <c r="A510" s="2" t="s">
        <v>1146</v>
      </c>
      <c r="B510" s="2" t="s">
        <v>44</v>
      </c>
      <c r="C510" s="2">
        <v>25</v>
      </c>
      <c r="D510" s="2">
        <v>0</v>
      </c>
      <c r="E510" s="2" t="s">
        <v>1093</v>
      </c>
      <c r="F510" s="2" t="s">
        <v>1123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</row>
    <row r="511" spans="1:28" x14ac:dyDescent="0.2">
      <c r="A511" s="2" t="s">
        <v>1147</v>
      </c>
      <c r="B511" s="2" t="s">
        <v>44</v>
      </c>
      <c r="C511" s="2">
        <v>25</v>
      </c>
      <c r="D511" s="2">
        <v>2</v>
      </c>
      <c r="E511" s="2" t="s">
        <v>1148</v>
      </c>
      <c r="F511" s="2" t="s">
        <v>1123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</row>
    <row r="512" spans="1:28" x14ac:dyDescent="0.2">
      <c r="A512" s="2" t="s">
        <v>1149</v>
      </c>
      <c r="B512" s="2" t="s">
        <v>44</v>
      </c>
      <c r="C512" s="2">
        <v>24</v>
      </c>
      <c r="D512" s="2">
        <v>3</v>
      </c>
      <c r="E512" s="2" t="s">
        <v>222</v>
      </c>
      <c r="F512" s="2" t="s">
        <v>1123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</row>
    <row r="513" spans="1:28" x14ac:dyDescent="0.2">
      <c r="A513" s="2" t="s">
        <v>1150</v>
      </c>
      <c r="B513" s="2" t="s">
        <v>44</v>
      </c>
      <c r="C513" s="2">
        <v>23</v>
      </c>
      <c r="D513" s="2">
        <v>0</v>
      </c>
      <c r="E513" s="2" t="s">
        <v>146</v>
      </c>
      <c r="F513" s="2" t="s">
        <v>1123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</row>
    <row r="514" spans="1:28" x14ac:dyDescent="0.2">
      <c r="A514" s="2" t="s">
        <v>1151</v>
      </c>
      <c r="B514" s="2" t="s">
        <v>44</v>
      </c>
      <c r="C514" s="2">
        <v>22</v>
      </c>
      <c r="D514" s="2">
        <v>0</v>
      </c>
      <c r="E514" s="2" t="s">
        <v>560</v>
      </c>
      <c r="F514" s="2" t="s">
        <v>1123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</row>
    <row r="515" spans="1:28" x14ac:dyDescent="0.2">
      <c r="A515" s="2" t="s">
        <v>1152</v>
      </c>
      <c r="B515" s="2" t="s">
        <v>44</v>
      </c>
      <c r="C515" s="2">
        <v>23</v>
      </c>
      <c r="D515" s="2">
        <v>0</v>
      </c>
      <c r="E515" s="2" t="s">
        <v>977</v>
      </c>
      <c r="F515" s="2" t="s">
        <v>1123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</row>
    <row r="516" spans="1:28" x14ac:dyDescent="0.2">
      <c r="A516" s="2" t="s">
        <v>1153</v>
      </c>
      <c r="B516" s="2" t="s">
        <v>44</v>
      </c>
      <c r="C516" s="2">
        <v>24</v>
      </c>
      <c r="D516" s="2">
        <v>0</v>
      </c>
      <c r="E516" s="2" t="s">
        <v>733</v>
      </c>
      <c r="F516" s="2" t="s">
        <v>1123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</row>
    <row r="517" spans="1:28" x14ac:dyDescent="0.2">
      <c r="A517" s="2" t="s">
        <v>1154</v>
      </c>
      <c r="B517" s="2" t="s">
        <v>44</v>
      </c>
      <c r="C517" s="2">
        <v>26</v>
      </c>
      <c r="D517" s="2">
        <v>3</v>
      </c>
      <c r="E517" s="2" t="s">
        <v>398</v>
      </c>
      <c r="F517" s="2" t="s">
        <v>1123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</row>
    <row r="518" spans="1:28" x14ac:dyDescent="0.2">
      <c r="A518" s="2" t="s">
        <v>1155</v>
      </c>
      <c r="B518" s="2" t="s">
        <v>44</v>
      </c>
      <c r="C518" s="2">
        <v>27</v>
      </c>
      <c r="D518" s="2">
        <v>5</v>
      </c>
      <c r="E518" s="2" t="s">
        <v>176</v>
      </c>
      <c r="F518" s="2" t="s">
        <v>1123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</row>
    <row r="519" spans="1:28" x14ac:dyDescent="0.2">
      <c r="A519" s="2" t="s">
        <v>1156</v>
      </c>
      <c r="B519" s="2" t="s">
        <v>44</v>
      </c>
      <c r="C519" s="2">
        <v>24</v>
      </c>
      <c r="D519" s="2">
        <v>2</v>
      </c>
      <c r="E519" s="2" t="s">
        <v>215</v>
      </c>
      <c r="F519" s="2" t="s">
        <v>1123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</row>
    <row r="520" spans="1:28" x14ac:dyDescent="0.2">
      <c r="A520" s="2" t="s">
        <v>1157</v>
      </c>
      <c r="B520" s="2" t="s">
        <v>44</v>
      </c>
      <c r="C520" s="2">
        <v>24</v>
      </c>
      <c r="D520" s="2">
        <v>3</v>
      </c>
      <c r="E520" s="2" t="s">
        <v>77</v>
      </c>
      <c r="F520" s="2" t="s">
        <v>1123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</row>
    <row r="521" spans="1:28" x14ac:dyDescent="0.2">
      <c r="A521" s="2" t="s">
        <v>1158</v>
      </c>
      <c r="B521" s="2" t="s">
        <v>44</v>
      </c>
      <c r="C521" s="2">
        <v>25</v>
      </c>
      <c r="D521" s="2">
        <v>0</v>
      </c>
      <c r="E521" s="2" t="s">
        <v>332</v>
      </c>
      <c r="F521" s="2" t="s">
        <v>1123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</row>
    <row r="522" spans="1:28" x14ac:dyDescent="0.2">
      <c r="A522" s="2" t="s">
        <v>1159</v>
      </c>
      <c r="B522" s="2" t="s">
        <v>39</v>
      </c>
      <c r="C522" s="2">
        <v>26</v>
      </c>
      <c r="D522" s="2">
        <v>4</v>
      </c>
      <c r="E522" s="2" t="s">
        <v>95</v>
      </c>
      <c r="F522" s="2" t="s">
        <v>1123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</row>
    <row r="523" spans="1:28" x14ac:dyDescent="0.2">
      <c r="A523" s="2" t="s">
        <v>1160</v>
      </c>
      <c r="B523" s="2" t="s">
        <v>39</v>
      </c>
      <c r="C523" s="2">
        <v>28</v>
      </c>
      <c r="D523" s="2">
        <v>5</v>
      </c>
      <c r="E523" s="2" t="s">
        <v>201</v>
      </c>
      <c r="F523" s="2" t="s">
        <v>1123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</row>
    <row r="524" spans="1:28" x14ac:dyDescent="0.2">
      <c r="A524" s="2" t="s">
        <v>1161</v>
      </c>
      <c r="B524" s="2" t="s">
        <v>39</v>
      </c>
      <c r="C524" s="2">
        <v>24</v>
      </c>
      <c r="D524" s="2">
        <v>0</v>
      </c>
      <c r="E524" s="2" t="s">
        <v>342</v>
      </c>
      <c r="F524" s="2" t="s">
        <v>1123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2">
        <v>0</v>
      </c>
      <c r="X524" s="2">
        <v>0</v>
      </c>
      <c r="Y524" s="2">
        <v>0</v>
      </c>
      <c r="Z524" s="2">
        <v>0</v>
      </c>
      <c r="AA524" s="2">
        <v>0</v>
      </c>
      <c r="AB524" s="2">
        <v>0</v>
      </c>
    </row>
    <row r="525" spans="1:28" x14ac:dyDescent="0.2">
      <c r="A525" s="2" t="s">
        <v>1162</v>
      </c>
      <c r="B525" s="2" t="s">
        <v>39</v>
      </c>
      <c r="C525" s="2">
        <v>26</v>
      </c>
      <c r="D525" s="2">
        <v>4</v>
      </c>
      <c r="E525" s="2" t="s">
        <v>689</v>
      </c>
      <c r="F525" s="2" t="s">
        <v>1123</v>
      </c>
      <c r="G525" s="2">
        <v>0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2">
        <v>0</v>
      </c>
      <c r="X525" s="2">
        <v>0</v>
      </c>
      <c r="Y525" s="2">
        <v>0</v>
      </c>
      <c r="Z525" s="2">
        <v>0</v>
      </c>
      <c r="AA525" s="2">
        <v>0</v>
      </c>
      <c r="AB525" s="2">
        <v>0</v>
      </c>
    </row>
    <row r="526" spans="1:28" x14ac:dyDescent="0.2">
      <c r="A526" s="2" t="s">
        <v>1180</v>
      </c>
      <c r="B526" s="2" t="s">
        <v>27</v>
      </c>
      <c r="C526" s="2">
        <v>24</v>
      </c>
      <c r="D526" s="2">
        <v>0</v>
      </c>
      <c r="E526" s="2" t="s">
        <v>205</v>
      </c>
      <c r="F526" s="2" t="s">
        <v>1165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2">
        <v>0</v>
      </c>
      <c r="X526" s="2">
        <v>0</v>
      </c>
      <c r="Y526" s="2">
        <v>0</v>
      </c>
      <c r="Z526" s="2">
        <v>0</v>
      </c>
      <c r="AA526" s="2">
        <v>0</v>
      </c>
      <c r="AB526" s="2">
        <v>0</v>
      </c>
    </row>
    <row r="527" spans="1:28" x14ac:dyDescent="0.2">
      <c r="A527" s="2" t="s">
        <v>1181</v>
      </c>
      <c r="B527" s="2" t="s">
        <v>27</v>
      </c>
      <c r="C527" s="2">
        <v>24</v>
      </c>
      <c r="D527" s="2">
        <v>2</v>
      </c>
      <c r="E527" s="2" t="s">
        <v>153</v>
      </c>
      <c r="F527" s="2" t="s">
        <v>1165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2">
        <v>0</v>
      </c>
      <c r="Y527" s="2">
        <v>0</v>
      </c>
      <c r="Z527" s="2">
        <v>0</v>
      </c>
      <c r="AA527" s="2">
        <v>0</v>
      </c>
      <c r="AB527" s="2">
        <v>0</v>
      </c>
    </row>
    <row r="528" spans="1:28" x14ac:dyDescent="0.2">
      <c r="A528" s="2" t="s">
        <v>1182</v>
      </c>
      <c r="B528" s="2" t="s">
        <v>27</v>
      </c>
      <c r="C528" s="2">
        <v>27</v>
      </c>
      <c r="D528" s="2">
        <v>4</v>
      </c>
      <c r="E528" s="2" t="s">
        <v>340</v>
      </c>
      <c r="F528" s="2" t="s">
        <v>1165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</row>
    <row r="529" spans="1:28" x14ac:dyDescent="0.2">
      <c r="A529" s="2" t="s">
        <v>1183</v>
      </c>
      <c r="B529" s="2" t="s">
        <v>27</v>
      </c>
      <c r="C529" s="2">
        <v>24</v>
      </c>
      <c r="D529" s="2">
        <v>0</v>
      </c>
      <c r="E529" s="2" t="s">
        <v>1093</v>
      </c>
      <c r="F529" s="2" t="s">
        <v>1165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2">
        <v>0</v>
      </c>
      <c r="Y529" s="2">
        <v>0</v>
      </c>
      <c r="Z529" s="2">
        <v>0</v>
      </c>
      <c r="AA529" s="2">
        <v>0</v>
      </c>
      <c r="AB529" s="2">
        <v>0</v>
      </c>
    </row>
    <row r="530" spans="1:28" x14ac:dyDescent="0.2">
      <c r="A530" s="2" t="s">
        <v>1184</v>
      </c>
      <c r="B530" s="2" t="s">
        <v>32</v>
      </c>
      <c r="C530" s="2">
        <v>22</v>
      </c>
      <c r="D530" s="2">
        <v>0</v>
      </c>
      <c r="E530" s="2" t="s">
        <v>342</v>
      </c>
      <c r="F530" s="2" t="s">
        <v>1165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</row>
    <row r="531" spans="1:28" x14ac:dyDescent="0.2">
      <c r="A531" s="2" t="s">
        <v>1185</v>
      </c>
      <c r="B531" s="2" t="s">
        <v>32</v>
      </c>
      <c r="C531" s="2">
        <v>25</v>
      </c>
      <c r="D531" s="2">
        <v>2</v>
      </c>
      <c r="E531" s="2" t="s">
        <v>69</v>
      </c>
      <c r="F531" s="2" t="s">
        <v>1165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</row>
    <row r="532" spans="1:28" x14ac:dyDescent="0.2">
      <c r="A532" s="2" t="s">
        <v>1186</v>
      </c>
      <c r="B532" s="2" t="s">
        <v>32</v>
      </c>
      <c r="C532" s="2">
        <v>24</v>
      </c>
      <c r="D532" s="2">
        <v>0</v>
      </c>
      <c r="E532" s="2" t="s">
        <v>742</v>
      </c>
      <c r="F532" s="2" t="s">
        <v>1165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</row>
    <row r="533" spans="1:28" x14ac:dyDescent="0.2">
      <c r="A533" s="2" t="s">
        <v>1187</v>
      </c>
      <c r="B533" s="2" t="s">
        <v>32</v>
      </c>
      <c r="C533" s="2">
        <v>25</v>
      </c>
      <c r="D533" s="2">
        <v>3</v>
      </c>
      <c r="E533" s="2" t="s">
        <v>1188</v>
      </c>
      <c r="F533" s="2" t="s">
        <v>1165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2">
        <v>0</v>
      </c>
      <c r="X533" s="2">
        <v>0</v>
      </c>
      <c r="Y533" s="2">
        <v>0</v>
      </c>
      <c r="Z533" s="2">
        <v>0</v>
      </c>
      <c r="AA533" s="2">
        <v>0</v>
      </c>
      <c r="AB533" s="2">
        <v>0</v>
      </c>
    </row>
    <row r="534" spans="1:28" x14ac:dyDescent="0.2">
      <c r="A534" s="2" t="s">
        <v>1189</v>
      </c>
      <c r="B534" s="2" t="s">
        <v>44</v>
      </c>
      <c r="C534" s="2">
        <v>27</v>
      </c>
      <c r="D534" s="2">
        <v>6</v>
      </c>
      <c r="E534" s="2" t="s">
        <v>416</v>
      </c>
      <c r="F534" s="2" t="s">
        <v>1165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2">
        <v>0</v>
      </c>
      <c r="AB534" s="2">
        <v>0</v>
      </c>
    </row>
    <row r="535" spans="1:28" x14ac:dyDescent="0.2">
      <c r="A535" s="2" t="s">
        <v>1190</v>
      </c>
      <c r="B535" s="2" t="s">
        <v>44</v>
      </c>
      <c r="C535" s="2">
        <v>21</v>
      </c>
      <c r="D535" s="2">
        <v>0</v>
      </c>
      <c r="E535" s="2" t="s">
        <v>222</v>
      </c>
      <c r="F535" s="2" t="s">
        <v>1165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v>0</v>
      </c>
      <c r="X535" s="2">
        <v>0</v>
      </c>
      <c r="Y535" s="2">
        <v>0</v>
      </c>
      <c r="Z535" s="2">
        <v>0</v>
      </c>
      <c r="AA535" s="2">
        <v>0</v>
      </c>
      <c r="AB535" s="2">
        <v>0</v>
      </c>
    </row>
    <row r="536" spans="1:28" x14ac:dyDescent="0.2">
      <c r="A536" s="2" t="s">
        <v>1191</v>
      </c>
      <c r="B536" s="2" t="s">
        <v>44</v>
      </c>
      <c r="C536" s="2">
        <v>22</v>
      </c>
      <c r="D536" s="2">
        <v>0</v>
      </c>
      <c r="E536" s="2" t="s">
        <v>1192</v>
      </c>
      <c r="F536" s="2" t="s">
        <v>1165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">
        <v>0</v>
      </c>
      <c r="Z536" s="2">
        <v>0</v>
      </c>
      <c r="AA536" s="2">
        <v>0</v>
      </c>
      <c r="AB536" s="2">
        <v>0</v>
      </c>
    </row>
    <row r="537" spans="1:28" x14ac:dyDescent="0.2">
      <c r="A537" s="2" t="s">
        <v>1193</v>
      </c>
      <c r="B537" s="2" t="s">
        <v>44</v>
      </c>
      <c r="C537" s="2"/>
      <c r="D537" s="2">
        <v>0</v>
      </c>
      <c r="E537" s="2" t="s">
        <v>283</v>
      </c>
      <c r="F537" s="2" t="s">
        <v>1165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0</v>
      </c>
      <c r="S537" s="2">
        <v>0</v>
      </c>
      <c r="T537" s="2">
        <v>0</v>
      </c>
      <c r="U537" s="2">
        <v>0</v>
      </c>
      <c r="V537" s="2">
        <v>0</v>
      </c>
      <c r="W537" s="2">
        <v>0</v>
      </c>
      <c r="X537" s="2">
        <v>0</v>
      </c>
      <c r="Y537" s="2">
        <v>0</v>
      </c>
      <c r="Z537" s="2">
        <v>0</v>
      </c>
      <c r="AA537" s="2">
        <v>0</v>
      </c>
      <c r="AB537" s="2">
        <v>0</v>
      </c>
    </row>
    <row r="538" spans="1:28" x14ac:dyDescent="0.2">
      <c r="A538" s="2" t="s">
        <v>1194</v>
      </c>
      <c r="B538" s="2" t="s">
        <v>44</v>
      </c>
      <c r="C538" s="2">
        <v>30</v>
      </c>
      <c r="D538" s="2">
        <v>8</v>
      </c>
      <c r="E538" s="2" t="s">
        <v>97</v>
      </c>
      <c r="F538" s="2" t="s">
        <v>1165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2">
        <v>0</v>
      </c>
      <c r="X538" s="2">
        <v>0</v>
      </c>
      <c r="Y538" s="2">
        <v>0</v>
      </c>
      <c r="Z538" s="2">
        <v>0</v>
      </c>
      <c r="AA538" s="2">
        <v>0</v>
      </c>
      <c r="AB538" s="2">
        <v>0</v>
      </c>
    </row>
    <row r="539" spans="1:28" x14ac:dyDescent="0.2">
      <c r="A539" s="2" t="s">
        <v>1195</v>
      </c>
      <c r="B539" s="2" t="s">
        <v>44</v>
      </c>
      <c r="C539" s="2">
        <v>25</v>
      </c>
      <c r="D539" s="2">
        <v>1</v>
      </c>
      <c r="E539" s="2" t="s">
        <v>281</v>
      </c>
      <c r="F539" s="2" t="s">
        <v>1165</v>
      </c>
      <c r="G539" s="2">
        <v>0</v>
      </c>
      <c r="H539" s="2">
        <v>0</v>
      </c>
      <c r="I539" s="2">
        <v>0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2">
        <v>0</v>
      </c>
      <c r="Z539" s="2">
        <v>0</v>
      </c>
      <c r="AA539" s="2">
        <v>0</v>
      </c>
      <c r="AB539" s="2">
        <v>0</v>
      </c>
    </row>
    <row r="540" spans="1:28" x14ac:dyDescent="0.2">
      <c r="A540" s="2" t="s">
        <v>1196</v>
      </c>
      <c r="B540" s="2" t="s">
        <v>44</v>
      </c>
      <c r="C540" s="2">
        <v>30</v>
      </c>
      <c r="D540" s="2">
        <v>8</v>
      </c>
      <c r="E540" s="2" t="s">
        <v>205</v>
      </c>
      <c r="F540" s="2" t="s">
        <v>1165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2">
        <v>0</v>
      </c>
      <c r="X540" s="2">
        <v>0</v>
      </c>
      <c r="Y540" s="2">
        <v>0</v>
      </c>
      <c r="Z540" s="2">
        <v>0</v>
      </c>
      <c r="AA540" s="2">
        <v>0</v>
      </c>
      <c r="AB540" s="2">
        <v>0</v>
      </c>
    </row>
    <row r="541" spans="1:28" x14ac:dyDescent="0.2">
      <c r="A541" s="2" t="s">
        <v>1197</v>
      </c>
      <c r="B541" s="2" t="s">
        <v>44</v>
      </c>
      <c r="C541" s="2">
        <v>37</v>
      </c>
      <c r="D541" s="2">
        <v>15</v>
      </c>
      <c r="E541" s="2" t="s">
        <v>473</v>
      </c>
      <c r="F541" s="2" t="s">
        <v>1165</v>
      </c>
      <c r="G541" s="2">
        <v>0</v>
      </c>
      <c r="H541" s="2">
        <v>0</v>
      </c>
      <c r="I541" s="2">
        <v>0</v>
      </c>
      <c r="J541" s="2">
        <v>0</v>
      </c>
      <c r="K541" s="2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2">
        <v>0</v>
      </c>
      <c r="Z541" s="2">
        <v>0</v>
      </c>
      <c r="AA541" s="2">
        <v>0</v>
      </c>
      <c r="AB541" s="2">
        <v>0</v>
      </c>
    </row>
    <row r="542" spans="1:28" x14ac:dyDescent="0.2">
      <c r="A542" s="2" t="s">
        <v>1198</v>
      </c>
      <c r="B542" s="2" t="s">
        <v>44</v>
      </c>
      <c r="C542" s="2">
        <v>26</v>
      </c>
      <c r="D542" s="2">
        <v>6</v>
      </c>
      <c r="E542" s="2" t="s">
        <v>79</v>
      </c>
      <c r="F542" s="2" t="s">
        <v>1165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</row>
    <row r="543" spans="1:28" x14ac:dyDescent="0.2">
      <c r="A543" s="2" t="s">
        <v>1199</v>
      </c>
      <c r="B543" s="2" t="s">
        <v>44</v>
      </c>
      <c r="C543" s="2">
        <v>22</v>
      </c>
      <c r="D543" s="2">
        <v>0</v>
      </c>
      <c r="E543" s="2" t="s">
        <v>394</v>
      </c>
      <c r="F543" s="2" t="s">
        <v>1165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s="2">
        <v>0</v>
      </c>
      <c r="W543" s="2">
        <v>0</v>
      </c>
      <c r="X543" s="2">
        <v>0</v>
      </c>
      <c r="Y543" s="2">
        <v>0</v>
      </c>
      <c r="Z543" s="2">
        <v>0</v>
      </c>
      <c r="AA543" s="2">
        <v>0</v>
      </c>
      <c r="AB543" s="2">
        <v>0</v>
      </c>
    </row>
    <row r="544" spans="1:28" x14ac:dyDescent="0.2">
      <c r="A544" s="2" t="s">
        <v>1200</v>
      </c>
      <c r="B544" s="2" t="s">
        <v>44</v>
      </c>
      <c r="C544" s="2">
        <v>25</v>
      </c>
      <c r="D544" s="2">
        <v>1</v>
      </c>
      <c r="E544" s="2" t="s">
        <v>90</v>
      </c>
      <c r="F544" s="2" t="s">
        <v>1165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0</v>
      </c>
      <c r="S544" s="2">
        <v>0</v>
      </c>
      <c r="T544" s="2">
        <v>0</v>
      </c>
      <c r="U544" s="2">
        <v>0</v>
      </c>
      <c r="V544" s="2">
        <v>0</v>
      </c>
      <c r="W544" s="2">
        <v>0</v>
      </c>
      <c r="X544" s="2">
        <v>0</v>
      </c>
      <c r="Y544" s="2">
        <v>0</v>
      </c>
      <c r="Z544" s="2">
        <v>0</v>
      </c>
      <c r="AA544" s="2">
        <v>0</v>
      </c>
      <c r="AB544" s="2">
        <v>0</v>
      </c>
    </row>
    <row r="545" spans="1:28" x14ac:dyDescent="0.2">
      <c r="A545" s="2" t="s">
        <v>1201</v>
      </c>
      <c r="B545" s="2" t="s">
        <v>44</v>
      </c>
      <c r="C545" s="2">
        <v>25</v>
      </c>
      <c r="D545" s="2">
        <v>0</v>
      </c>
      <c r="E545" s="2" t="s">
        <v>1202</v>
      </c>
      <c r="F545" s="2" t="s">
        <v>1165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0</v>
      </c>
      <c r="S545" s="2">
        <v>0</v>
      </c>
      <c r="T545" s="2">
        <v>0</v>
      </c>
      <c r="U545" s="2">
        <v>0</v>
      </c>
      <c r="V545" s="2">
        <v>0</v>
      </c>
      <c r="W545" s="2">
        <v>0</v>
      </c>
      <c r="X545" s="2">
        <v>0</v>
      </c>
      <c r="Y545" s="2">
        <v>0</v>
      </c>
      <c r="Z545" s="2">
        <v>0</v>
      </c>
      <c r="AA545" s="2">
        <v>0</v>
      </c>
      <c r="AB545" s="2">
        <v>0</v>
      </c>
    </row>
    <row r="546" spans="1:28" x14ac:dyDescent="0.2">
      <c r="A546" s="2" t="s">
        <v>1203</v>
      </c>
      <c r="B546" s="2" t="s">
        <v>39</v>
      </c>
      <c r="C546" s="2">
        <v>28</v>
      </c>
      <c r="D546" s="2">
        <v>5</v>
      </c>
      <c r="E546" s="2" t="s">
        <v>1204</v>
      </c>
      <c r="F546" s="2" t="s">
        <v>1165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0</v>
      </c>
      <c r="S546" s="2">
        <v>0</v>
      </c>
      <c r="T546" s="2">
        <v>0</v>
      </c>
      <c r="U546" s="2">
        <v>0</v>
      </c>
      <c r="V546" s="2">
        <v>0</v>
      </c>
      <c r="W546" s="2">
        <v>0</v>
      </c>
      <c r="X546" s="2">
        <v>0</v>
      </c>
      <c r="Y546" s="2">
        <v>0</v>
      </c>
      <c r="Z546" s="2">
        <v>0</v>
      </c>
      <c r="AA546" s="2">
        <v>0</v>
      </c>
      <c r="AB546" s="2">
        <v>0</v>
      </c>
    </row>
    <row r="547" spans="1:28" x14ac:dyDescent="0.2">
      <c r="A547" s="2" t="s">
        <v>1205</v>
      </c>
      <c r="B547" s="2" t="s">
        <v>39</v>
      </c>
      <c r="C547" s="2">
        <v>27</v>
      </c>
      <c r="D547" s="2">
        <v>5</v>
      </c>
      <c r="E547" s="2" t="s">
        <v>340</v>
      </c>
      <c r="F547" s="2" t="s">
        <v>1165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0</v>
      </c>
      <c r="W547" s="2">
        <v>0</v>
      </c>
      <c r="X547" s="2">
        <v>0</v>
      </c>
      <c r="Y547" s="2">
        <v>0</v>
      </c>
      <c r="Z547" s="2">
        <v>0</v>
      </c>
      <c r="AA547" s="2">
        <v>0</v>
      </c>
      <c r="AB547" s="2">
        <v>0</v>
      </c>
    </row>
    <row r="548" spans="1:28" x14ac:dyDescent="0.2">
      <c r="A548" s="2" t="s">
        <v>1206</v>
      </c>
      <c r="B548" s="2" t="s">
        <v>39</v>
      </c>
      <c r="C548" s="2">
        <v>28</v>
      </c>
      <c r="D548" s="2">
        <v>7</v>
      </c>
      <c r="E548" s="2" t="s">
        <v>173</v>
      </c>
      <c r="F548" s="2" t="s">
        <v>1165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0</v>
      </c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</row>
    <row r="549" spans="1:28" x14ac:dyDescent="0.2">
      <c r="A549" s="2" t="s">
        <v>1207</v>
      </c>
      <c r="B549" s="2" t="s">
        <v>39</v>
      </c>
      <c r="C549" s="2">
        <v>25</v>
      </c>
      <c r="D549" s="2">
        <v>0</v>
      </c>
      <c r="E549" s="2" t="s">
        <v>575</v>
      </c>
      <c r="F549" s="2" t="s">
        <v>1165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2">
        <v>0</v>
      </c>
      <c r="X549" s="2">
        <v>0</v>
      </c>
      <c r="Y549" s="2">
        <v>0</v>
      </c>
      <c r="Z549" s="2">
        <v>0</v>
      </c>
      <c r="AA549" s="2">
        <v>0</v>
      </c>
      <c r="AB549" s="2">
        <v>0</v>
      </c>
    </row>
    <row r="550" spans="1:28" x14ac:dyDescent="0.2">
      <c r="A550" s="2" t="s">
        <v>1227</v>
      </c>
      <c r="B550" s="2" t="s">
        <v>27</v>
      </c>
      <c r="C550" s="2">
        <v>32</v>
      </c>
      <c r="D550" s="2">
        <v>9</v>
      </c>
      <c r="E550" s="2" t="s">
        <v>279</v>
      </c>
      <c r="F550" s="2" t="s">
        <v>1210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0</v>
      </c>
      <c r="V550" s="2">
        <v>0</v>
      </c>
      <c r="W550" s="2">
        <v>0</v>
      </c>
      <c r="X550" s="2">
        <v>0</v>
      </c>
      <c r="Y550" s="2">
        <v>0</v>
      </c>
      <c r="Z550" s="2">
        <v>0</v>
      </c>
      <c r="AA550" s="2">
        <v>0</v>
      </c>
      <c r="AB550" s="2">
        <v>0</v>
      </c>
    </row>
    <row r="551" spans="1:28" x14ac:dyDescent="0.2">
      <c r="A551" s="2" t="s">
        <v>1228</v>
      </c>
      <c r="B551" s="2" t="s">
        <v>27</v>
      </c>
      <c r="C551" s="2">
        <v>24</v>
      </c>
      <c r="D551" s="2">
        <v>0</v>
      </c>
      <c r="E551" s="2" t="s">
        <v>279</v>
      </c>
      <c r="F551" s="2" t="s">
        <v>1210</v>
      </c>
      <c r="G551" s="2">
        <v>0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0</v>
      </c>
      <c r="V551" s="2">
        <v>0</v>
      </c>
      <c r="W551" s="2">
        <v>0</v>
      </c>
      <c r="X551" s="2">
        <v>0</v>
      </c>
      <c r="Y551" s="2">
        <v>0</v>
      </c>
      <c r="Z551" s="2">
        <v>0</v>
      </c>
      <c r="AA551" s="2">
        <v>0</v>
      </c>
      <c r="AB551" s="2">
        <v>0</v>
      </c>
    </row>
    <row r="552" spans="1:28" x14ac:dyDescent="0.2">
      <c r="A552" s="2" t="s">
        <v>1229</v>
      </c>
      <c r="B552" s="2" t="s">
        <v>27</v>
      </c>
      <c r="C552" s="2">
        <v>29</v>
      </c>
      <c r="D552" s="2">
        <v>8</v>
      </c>
      <c r="E552" s="2" t="s">
        <v>744</v>
      </c>
      <c r="F552" s="2" t="s">
        <v>1210</v>
      </c>
      <c r="G552" s="2">
        <v>0</v>
      </c>
      <c r="H552" s="2">
        <v>0</v>
      </c>
      <c r="I552" s="2">
        <v>0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0</v>
      </c>
      <c r="S552" s="2">
        <v>0</v>
      </c>
      <c r="T552" s="2">
        <v>0</v>
      </c>
      <c r="U552" s="2">
        <v>0</v>
      </c>
      <c r="V552" s="2">
        <v>0</v>
      </c>
      <c r="W552" s="2">
        <v>0</v>
      </c>
      <c r="X552" s="2">
        <v>0</v>
      </c>
      <c r="Y552" s="2">
        <v>0</v>
      </c>
      <c r="Z552" s="2">
        <v>0</v>
      </c>
      <c r="AA552" s="2">
        <v>0</v>
      </c>
      <c r="AB552" s="2">
        <v>0</v>
      </c>
    </row>
    <row r="553" spans="1:28" x14ac:dyDescent="0.2">
      <c r="A553" s="2" t="s">
        <v>1230</v>
      </c>
      <c r="B553" s="2" t="s">
        <v>32</v>
      </c>
      <c r="C553" s="2">
        <v>26</v>
      </c>
      <c r="D553" s="2">
        <v>1</v>
      </c>
      <c r="E553" s="2" t="s">
        <v>163</v>
      </c>
      <c r="F553" s="2" t="s">
        <v>1210</v>
      </c>
      <c r="G553" s="2">
        <v>0</v>
      </c>
      <c r="H553" s="2">
        <v>0</v>
      </c>
      <c r="I553" s="2">
        <v>0</v>
      </c>
      <c r="J553" s="2">
        <v>0</v>
      </c>
      <c r="K553" s="2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0</v>
      </c>
      <c r="S553" s="2">
        <v>0</v>
      </c>
      <c r="T553" s="2">
        <v>0</v>
      </c>
      <c r="U553" s="2">
        <v>0</v>
      </c>
      <c r="V553" s="2">
        <v>0</v>
      </c>
      <c r="W553" s="2">
        <v>0</v>
      </c>
      <c r="X553" s="2">
        <v>0</v>
      </c>
      <c r="Y553" s="2">
        <v>0</v>
      </c>
      <c r="Z553" s="2">
        <v>0</v>
      </c>
      <c r="AA553" s="2">
        <v>0</v>
      </c>
      <c r="AB553" s="2">
        <v>0</v>
      </c>
    </row>
    <row r="554" spans="1:28" x14ac:dyDescent="0.2">
      <c r="A554" s="2" t="s">
        <v>1231</v>
      </c>
      <c r="B554" s="2" t="s">
        <v>32</v>
      </c>
      <c r="C554" s="2">
        <v>24</v>
      </c>
      <c r="D554" s="2">
        <v>3</v>
      </c>
      <c r="E554" s="2" t="s">
        <v>155</v>
      </c>
      <c r="F554" s="2" t="s">
        <v>1210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0</v>
      </c>
      <c r="S554" s="2">
        <v>0</v>
      </c>
      <c r="T554" s="2">
        <v>0</v>
      </c>
      <c r="U554" s="2">
        <v>0</v>
      </c>
      <c r="V554" s="2">
        <v>0</v>
      </c>
      <c r="W554" s="2">
        <v>0</v>
      </c>
      <c r="X554" s="2">
        <v>0</v>
      </c>
      <c r="Y554" s="2">
        <v>0</v>
      </c>
      <c r="Z554" s="2">
        <v>0</v>
      </c>
      <c r="AA554" s="2">
        <v>0</v>
      </c>
      <c r="AB554" s="2">
        <v>0</v>
      </c>
    </row>
    <row r="555" spans="1:28" x14ac:dyDescent="0.2">
      <c r="A555" s="2" t="s">
        <v>1232</v>
      </c>
      <c r="B555" s="2" t="s">
        <v>32</v>
      </c>
      <c r="C555" s="2">
        <v>27</v>
      </c>
      <c r="D555" s="2">
        <v>6</v>
      </c>
      <c r="E555" s="2" t="s">
        <v>141</v>
      </c>
      <c r="F555" s="2" t="s">
        <v>1210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0</v>
      </c>
      <c r="V555" s="2">
        <v>0</v>
      </c>
      <c r="W555" s="2">
        <v>0</v>
      </c>
      <c r="X555" s="2">
        <v>0</v>
      </c>
      <c r="Y555" s="2">
        <v>0</v>
      </c>
      <c r="Z555" s="2">
        <v>0</v>
      </c>
      <c r="AA555" s="2">
        <v>0</v>
      </c>
      <c r="AB555" s="2">
        <v>0</v>
      </c>
    </row>
    <row r="556" spans="1:28" x14ac:dyDescent="0.2">
      <c r="A556" s="2" t="s">
        <v>1233</v>
      </c>
      <c r="B556" s="2" t="s">
        <v>32</v>
      </c>
      <c r="C556" s="2">
        <v>24</v>
      </c>
      <c r="D556" s="2">
        <v>0</v>
      </c>
      <c r="E556" s="2" t="s">
        <v>232</v>
      </c>
      <c r="F556" s="2" t="s">
        <v>1210</v>
      </c>
      <c r="G556" s="2">
        <v>0</v>
      </c>
      <c r="H556" s="2">
        <v>0</v>
      </c>
      <c r="I556" s="2">
        <v>0</v>
      </c>
      <c r="J556" s="2">
        <v>0</v>
      </c>
      <c r="K556" s="2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0</v>
      </c>
      <c r="S556" s="2">
        <v>0</v>
      </c>
      <c r="T556" s="2">
        <v>0</v>
      </c>
      <c r="U556" s="2">
        <v>0</v>
      </c>
      <c r="V556" s="2">
        <v>0</v>
      </c>
      <c r="W556" s="2">
        <v>0</v>
      </c>
      <c r="X556" s="2">
        <v>0</v>
      </c>
      <c r="Y556" s="2">
        <v>0</v>
      </c>
      <c r="Z556" s="2">
        <v>0</v>
      </c>
      <c r="AA556" s="2">
        <v>0</v>
      </c>
      <c r="AB556" s="2">
        <v>0</v>
      </c>
    </row>
    <row r="557" spans="1:28" x14ac:dyDescent="0.2">
      <c r="A557" s="2" t="s">
        <v>1234</v>
      </c>
      <c r="B557" s="2" t="s">
        <v>32</v>
      </c>
      <c r="C557" s="2">
        <v>21</v>
      </c>
      <c r="D557" s="2">
        <v>0</v>
      </c>
      <c r="E557" s="2" t="s">
        <v>77</v>
      </c>
      <c r="F557" s="2" t="s">
        <v>1210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0</v>
      </c>
      <c r="V557" s="2">
        <v>0</v>
      </c>
      <c r="W557" s="2">
        <v>0</v>
      </c>
      <c r="X557" s="2">
        <v>0</v>
      </c>
      <c r="Y557" s="2">
        <v>0</v>
      </c>
      <c r="Z557" s="2">
        <v>0</v>
      </c>
      <c r="AA557" s="2">
        <v>0</v>
      </c>
      <c r="AB557" s="2">
        <v>0</v>
      </c>
    </row>
    <row r="558" spans="1:28" x14ac:dyDescent="0.2">
      <c r="A558" s="2" t="s">
        <v>1235</v>
      </c>
      <c r="B558" s="2" t="s">
        <v>32</v>
      </c>
      <c r="C558" s="2">
        <v>28</v>
      </c>
      <c r="D558" s="2">
        <v>6</v>
      </c>
      <c r="E558" s="2" t="s">
        <v>81</v>
      </c>
      <c r="F558" s="2" t="s">
        <v>1210</v>
      </c>
      <c r="G558" s="2">
        <v>0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0</v>
      </c>
      <c r="S558" s="2">
        <v>0</v>
      </c>
      <c r="T558" s="2">
        <v>0</v>
      </c>
      <c r="U558" s="2">
        <v>0</v>
      </c>
      <c r="V558" s="2">
        <v>0</v>
      </c>
      <c r="W558" s="2">
        <v>0</v>
      </c>
      <c r="X558" s="2">
        <v>0</v>
      </c>
      <c r="Y558" s="2">
        <v>0</v>
      </c>
      <c r="Z558" s="2">
        <v>0</v>
      </c>
      <c r="AA558" s="2">
        <v>0</v>
      </c>
      <c r="AB558" s="2">
        <v>0</v>
      </c>
    </row>
    <row r="559" spans="1:28" x14ac:dyDescent="0.2">
      <c r="A559" s="2" t="s">
        <v>1236</v>
      </c>
      <c r="B559" s="2" t="s">
        <v>44</v>
      </c>
      <c r="C559" s="2">
        <v>24</v>
      </c>
      <c r="D559" s="2">
        <v>1</v>
      </c>
      <c r="E559" s="2" t="s">
        <v>300</v>
      </c>
      <c r="F559" s="2" t="s">
        <v>1210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0</v>
      </c>
      <c r="V559" s="2">
        <v>0</v>
      </c>
      <c r="W559" s="2">
        <v>0</v>
      </c>
      <c r="X559" s="2">
        <v>0</v>
      </c>
      <c r="Y559" s="2">
        <v>0</v>
      </c>
      <c r="Z559" s="2">
        <v>0</v>
      </c>
      <c r="AA559" s="2">
        <v>0</v>
      </c>
      <c r="AB559" s="2">
        <v>0</v>
      </c>
    </row>
    <row r="560" spans="1:28" x14ac:dyDescent="0.2">
      <c r="A560" s="2" t="s">
        <v>1237</v>
      </c>
      <c r="B560" s="2" t="s">
        <v>44</v>
      </c>
      <c r="C560" s="2">
        <v>25</v>
      </c>
      <c r="D560" s="2">
        <v>3</v>
      </c>
      <c r="E560" s="2" t="s">
        <v>148</v>
      </c>
      <c r="F560" s="2" t="s">
        <v>1210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0</v>
      </c>
      <c r="V560" s="2">
        <v>0</v>
      </c>
      <c r="W560" s="2">
        <v>0</v>
      </c>
      <c r="X560" s="2">
        <v>0</v>
      </c>
      <c r="Y560" s="2">
        <v>0</v>
      </c>
      <c r="Z560" s="2">
        <v>0</v>
      </c>
      <c r="AA560" s="2">
        <v>0</v>
      </c>
      <c r="AB560" s="2">
        <v>0</v>
      </c>
    </row>
    <row r="561" spans="1:28" x14ac:dyDescent="0.2">
      <c r="A561" s="2" t="s">
        <v>1238</v>
      </c>
      <c r="B561" s="2" t="s">
        <v>44</v>
      </c>
      <c r="C561" s="2">
        <v>26</v>
      </c>
      <c r="D561" s="2">
        <v>4</v>
      </c>
      <c r="E561" s="2" t="s">
        <v>515</v>
      </c>
      <c r="F561" s="2" t="s">
        <v>1210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0</v>
      </c>
      <c r="S561" s="2">
        <v>0</v>
      </c>
      <c r="T561" s="2">
        <v>0</v>
      </c>
      <c r="U561" s="2">
        <v>0</v>
      </c>
      <c r="V561" s="2">
        <v>0</v>
      </c>
      <c r="W561" s="2">
        <v>0</v>
      </c>
      <c r="X561" s="2">
        <v>0</v>
      </c>
      <c r="Y561" s="2">
        <v>0</v>
      </c>
      <c r="Z561" s="2">
        <v>0</v>
      </c>
      <c r="AA561" s="2">
        <v>0</v>
      </c>
      <c r="AB561" s="2">
        <v>0</v>
      </c>
    </row>
    <row r="562" spans="1:28" x14ac:dyDescent="0.2">
      <c r="A562" s="2" t="s">
        <v>1239</v>
      </c>
      <c r="B562" s="2" t="s">
        <v>44</v>
      </c>
      <c r="C562" s="2">
        <v>23</v>
      </c>
      <c r="D562" s="2">
        <v>0</v>
      </c>
      <c r="E562" s="2" t="s">
        <v>1240</v>
      </c>
      <c r="F562" s="2" t="s">
        <v>1210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0</v>
      </c>
      <c r="V562" s="2">
        <v>0</v>
      </c>
      <c r="W562" s="2">
        <v>0</v>
      </c>
      <c r="X562" s="2">
        <v>0</v>
      </c>
      <c r="Y562" s="2">
        <v>0</v>
      </c>
      <c r="Z562" s="2">
        <v>0</v>
      </c>
      <c r="AA562" s="2">
        <v>0</v>
      </c>
      <c r="AB562" s="2">
        <v>0</v>
      </c>
    </row>
    <row r="563" spans="1:28" x14ac:dyDescent="0.2">
      <c r="A563" s="2" t="s">
        <v>1241</v>
      </c>
      <c r="B563" s="2" t="s">
        <v>44</v>
      </c>
      <c r="C563" s="2">
        <v>24</v>
      </c>
      <c r="D563" s="2">
        <v>3</v>
      </c>
      <c r="E563" s="2" t="s">
        <v>342</v>
      </c>
      <c r="F563" s="2" t="s">
        <v>1210</v>
      </c>
      <c r="G563" s="2">
        <v>0</v>
      </c>
      <c r="H563" s="2">
        <v>0</v>
      </c>
      <c r="I563" s="2">
        <v>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s="2">
        <v>0</v>
      </c>
      <c r="W563" s="2">
        <v>0</v>
      </c>
      <c r="X563" s="2">
        <v>0</v>
      </c>
      <c r="Y563" s="2">
        <v>0</v>
      </c>
      <c r="Z563" s="2">
        <v>0</v>
      </c>
      <c r="AA563" s="2">
        <v>0</v>
      </c>
      <c r="AB563" s="2">
        <v>0</v>
      </c>
    </row>
    <row r="564" spans="1:28" x14ac:dyDescent="0.2">
      <c r="A564" s="2" t="s">
        <v>1242</v>
      </c>
      <c r="B564" s="2" t="s">
        <v>44</v>
      </c>
      <c r="C564" s="2">
        <v>29</v>
      </c>
      <c r="D564" s="2">
        <v>4</v>
      </c>
      <c r="E564" s="2" t="s">
        <v>392</v>
      </c>
      <c r="F564" s="2" t="s">
        <v>1210</v>
      </c>
      <c r="G564" s="2">
        <v>0</v>
      </c>
      <c r="H564" s="2">
        <v>0</v>
      </c>
      <c r="I564" s="2">
        <v>0</v>
      </c>
      <c r="J564" s="2">
        <v>0</v>
      </c>
      <c r="K564" s="2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2">
        <v>0</v>
      </c>
      <c r="X564" s="2">
        <v>0</v>
      </c>
      <c r="Y564" s="2">
        <v>0</v>
      </c>
      <c r="Z564" s="2">
        <v>0</v>
      </c>
      <c r="AA564" s="2">
        <v>0</v>
      </c>
      <c r="AB564" s="2">
        <v>0</v>
      </c>
    </row>
    <row r="565" spans="1:28" x14ac:dyDescent="0.2">
      <c r="A565" s="2" t="s">
        <v>1243</v>
      </c>
      <c r="B565" s="2" t="s">
        <v>44</v>
      </c>
      <c r="C565" s="2">
        <v>26</v>
      </c>
      <c r="D565" s="2">
        <v>1</v>
      </c>
      <c r="E565" s="2" t="s">
        <v>1089</v>
      </c>
      <c r="F565" s="2" t="s">
        <v>1210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0</v>
      </c>
      <c r="S565" s="2">
        <v>0</v>
      </c>
      <c r="T565" s="2">
        <v>0</v>
      </c>
      <c r="U565" s="2">
        <v>0</v>
      </c>
      <c r="V565" s="2">
        <v>0</v>
      </c>
      <c r="W565" s="2">
        <v>0</v>
      </c>
      <c r="X565" s="2">
        <v>0</v>
      </c>
      <c r="Y565" s="2">
        <v>0</v>
      </c>
      <c r="Z565" s="2">
        <v>0</v>
      </c>
      <c r="AA565" s="2">
        <v>0</v>
      </c>
      <c r="AB565" s="2">
        <v>0</v>
      </c>
    </row>
    <row r="566" spans="1:28" x14ac:dyDescent="0.2">
      <c r="A566" s="2" t="s">
        <v>1244</v>
      </c>
      <c r="B566" s="2" t="s">
        <v>44</v>
      </c>
      <c r="C566" s="2">
        <v>23</v>
      </c>
      <c r="D566" s="2">
        <v>0</v>
      </c>
      <c r="E566" s="2" t="s">
        <v>209</v>
      </c>
      <c r="F566" s="2" t="s">
        <v>1210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0</v>
      </c>
      <c r="S566" s="2">
        <v>0</v>
      </c>
      <c r="T566" s="2">
        <v>0</v>
      </c>
      <c r="U566" s="2">
        <v>0</v>
      </c>
      <c r="V566" s="2">
        <v>0</v>
      </c>
      <c r="W566" s="2">
        <v>0</v>
      </c>
      <c r="X566" s="2">
        <v>0</v>
      </c>
      <c r="Y566" s="2">
        <v>0</v>
      </c>
      <c r="Z566" s="2">
        <v>0</v>
      </c>
      <c r="AA566" s="2">
        <v>0</v>
      </c>
      <c r="AB566" s="2">
        <v>0</v>
      </c>
    </row>
    <row r="567" spans="1:28" x14ac:dyDescent="0.2">
      <c r="A567" s="2" t="s">
        <v>1245</v>
      </c>
      <c r="B567" s="2" t="s">
        <v>44</v>
      </c>
      <c r="C567" s="2">
        <v>23</v>
      </c>
      <c r="D567" s="2">
        <v>0</v>
      </c>
      <c r="E567" s="2" t="s">
        <v>90</v>
      </c>
      <c r="F567" s="2" t="s">
        <v>1210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2">
        <v>0</v>
      </c>
      <c r="Y567" s="2">
        <v>0</v>
      </c>
      <c r="Z567" s="2">
        <v>0</v>
      </c>
      <c r="AA567" s="2">
        <v>0</v>
      </c>
      <c r="AB567" s="2">
        <v>0</v>
      </c>
    </row>
    <row r="568" spans="1:28" x14ac:dyDescent="0.2">
      <c r="A568" s="2" t="s">
        <v>1246</v>
      </c>
      <c r="B568" s="2" t="s">
        <v>44</v>
      </c>
      <c r="C568" s="2">
        <v>24</v>
      </c>
      <c r="D568" s="2">
        <v>0</v>
      </c>
      <c r="E568" s="2" t="s">
        <v>1247</v>
      </c>
      <c r="F568" s="2" t="s">
        <v>1210</v>
      </c>
      <c r="G568" s="2">
        <v>0</v>
      </c>
      <c r="H568" s="2">
        <v>0</v>
      </c>
      <c r="I568" s="2">
        <v>0</v>
      </c>
      <c r="J568" s="2">
        <v>0</v>
      </c>
      <c r="K568" s="2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2">
        <v>0</v>
      </c>
      <c r="X568" s="2">
        <v>0</v>
      </c>
      <c r="Y568" s="2">
        <v>0</v>
      </c>
      <c r="Z568" s="2">
        <v>0</v>
      </c>
      <c r="AA568" s="2">
        <v>0</v>
      </c>
      <c r="AB568" s="2">
        <v>0</v>
      </c>
    </row>
    <row r="569" spans="1:28" x14ac:dyDescent="0.2">
      <c r="A569" s="2" t="s">
        <v>1248</v>
      </c>
      <c r="B569" s="2" t="s">
        <v>44</v>
      </c>
      <c r="C569" s="2">
        <v>27</v>
      </c>
      <c r="D569" s="2">
        <v>5</v>
      </c>
      <c r="E569" s="2" t="s">
        <v>281</v>
      </c>
      <c r="F569" s="2" t="s">
        <v>1210</v>
      </c>
      <c r="G569" s="2">
        <v>0</v>
      </c>
      <c r="H569" s="2">
        <v>0</v>
      </c>
      <c r="I569" s="2">
        <v>0</v>
      </c>
      <c r="J569" s="2">
        <v>0</v>
      </c>
      <c r="K569" s="2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2">
        <v>0</v>
      </c>
      <c r="X569" s="2">
        <v>0</v>
      </c>
      <c r="Y569" s="2">
        <v>0</v>
      </c>
      <c r="Z569" s="2">
        <v>0</v>
      </c>
      <c r="AA569" s="2">
        <v>0</v>
      </c>
      <c r="AB569" s="2">
        <v>0</v>
      </c>
    </row>
    <row r="570" spans="1:28" x14ac:dyDescent="0.2">
      <c r="A570" s="2" t="s">
        <v>1249</v>
      </c>
      <c r="B570" s="2" t="s">
        <v>44</v>
      </c>
      <c r="C570" s="2">
        <v>30</v>
      </c>
      <c r="D570" s="2">
        <v>7</v>
      </c>
      <c r="E570" s="2" t="s">
        <v>209</v>
      </c>
      <c r="F570" s="2" t="s">
        <v>1210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2">
        <v>0</v>
      </c>
      <c r="X570" s="2">
        <v>0</v>
      </c>
      <c r="Y570" s="2">
        <v>0</v>
      </c>
      <c r="Z570" s="2">
        <v>0</v>
      </c>
      <c r="AA570" s="2">
        <v>0</v>
      </c>
      <c r="AB570" s="2">
        <v>0</v>
      </c>
    </row>
    <row r="571" spans="1:28" x14ac:dyDescent="0.2">
      <c r="A571" s="2" t="s">
        <v>1250</v>
      </c>
      <c r="B571" s="2" t="s">
        <v>44</v>
      </c>
      <c r="C571" s="2">
        <v>27</v>
      </c>
      <c r="D571" s="2">
        <v>5</v>
      </c>
      <c r="E571" s="2" t="s">
        <v>213</v>
      </c>
      <c r="F571" s="2" t="s">
        <v>1210</v>
      </c>
      <c r="G571" s="2">
        <v>0</v>
      </c>
      <c r="H571" s="2">
        <v>0</v>
      </c>
      <c r="I571" s="2">
        <v>0</v>
      </c>
      <c r="J571" s="2">
        <v>0</v>
      </c>
      <c r="K571" s="2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s="2">
        <v>0</v>
      </c>
      <c r="W571" s="2">
        <v>0</v>
      </c>
      <c r="X571" s="2">
        <v>0</v>
      </c>
      <c r="Y571" s="2">
        <v>0</v>
      </c>
      <c r="Z571" s="2">
        <v>0</v>
      </c>
      <c r="AA571" s="2">
        <v>0</v>
      </c>
      <c r="AB571" s="2">
        <v>0</v>
      </c>
    </row>
    <row r="572" spans="1:28" x14ac:dyDescent="0.2">
      <c r="A572" s="2" t="s">
        <v>1251</v>
      </c>
      <c r="B572" s="2" t="s">
        <v>39</v>
      </c>
      <c r="C572" s="2">
        <v>25</v>
      </c>
      <c r="D572" s="2">
        <v>1</v>
      </c>
      <c r="E572" s="2" t="s">
        <v>153</v>
      </c>
      <c r="F572" s="2" t="s">
        <v>1210</v>
      </c>
      <c r="G572" s="2">
        <v>0</v>
      </c>
      <c r="H572" s="2">
        <v>0</v>
      </c>
      <c r="I572" s="2">
        <v>0</v>
      </c>
      <c r="J572" s="2">
        <v>0</v>
      </c>
      <c r="K572" s="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0</v>
      </c>
      <c r="S572" s="2">
        <v>0</v>
      </c>
      <c r="T572" s="2">
        <v>0</v>
      </c>
      <c r="U572" s="2">
        <v>0</v>
      </c>
      <c r="V572" s="2">
        <v>0</v>
      </c>
      <c r="W572" s="2">
        <v>0</v>
      </c>
      <c r="X572" s="2">
        <v>0</v>
      </c>
      <c r="Y572" s="2">
        <v>0</v>
      </c>
      <c r="Z572" s="2">
        <v>0</v>
      </c>
      <c r="AA572" s="2">
        <v>0</v>
      </c>
      <c r="AB572" s="2">
        <v>0</v>
      </c>
    </row>
    <row r="573" spans="1:28" x14ac:dyDescent="0.2">
      <c r="A573" s="2" t="s">
        <v>1252</v>
      </c>
      <c r="B573" s="2" t="s">
        <v>39</v>
      </c>
      <c r="C573" s="2">
        <v>32</v>
      </c>
      <c r="D573" s="2">
        <v>6</v>
      </c>
      <c r="E573" s="2" t="s">
        <v>81</v>
      </c>
      <c r="F573" s="2" t="s">
        <v>1210</v>
      </c>
      <c r="G573" s="2">
        <v>0</v>
      </c>
      <c r="H573" s="2">
        <v>0</v>
      </c>
      <c r="I573" s="2">
        <v>0</v>
      </c>
      <c r="J573" s="2">
        <v>0</v>
      </c>
      <c r="K573" s="2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0</v>
      </c>
      <c r="V573" s="2">
        <v>0</v>
      </c>
      <c r="W573" s="2">
        <v>0</v>
      </c>
      <c r="X573" s="2">
        <v>0</v>
      </c>
      <c r="Y573" s="2">
        <v>0</v>
      </c>
      <c r="Z573" s="2">
        <v>0</v>
      </c>
      <c r="AA573" s="2">
        <v>0</v>
      </c>
      <c r="AB573" s="2">
        <v>0</v>
      </c>
    </row>
    <row r="574" spans="1:28" x14ac:dyDescent="0.2">
      <c r="A574" s="2" t="s">
        <v>1253</v>
      </c>
      <c r="B574" s="2" t="s">
        <v>39</v>
      </c>
      <c r="C574" s="2">
        <v>29</v>
      </c>
      <c r="D574" s="2">
        <v>8</v>
      </c>
      <c r="E574" s="2" t="s">
        <v>340</v>
      </c>
      <c r="F574" s="2" t="s">
        <v>1210</v>
      </c>
      <c r="G574" s="2">
        <v>0</v>
      </c>
      <c r="H574" s="2">
        <v>0</v>
      </c>
      <c r="I574" s="2">
        <v>0</v>
      </c>
      <c r="J574" s="2">
        <v>0</v>
      </c>
      <c r="K574" s="2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0</v>
      </c>
      <c r="S574" s="2">
        <v>0</v>
      </c>
      <c r="T574" s="2">
        <v>0</v>
      </c>
      <c r="U574" s="2">
        <v>0</v>
      </c>
      <c r="V574" s="2">
        <v>0</v>
      </c>
      <c r="W574" s="2">
        <v>0</v>
      </c>
      <c r="X574" s="2">
        <v>0</v>
      </c>
      <c r="Y574" s="2">
        <v>0</v>
      </c>
      <c r="Z574" s="2">
        <v>0</v>
      </c>
      <c r="AA574" s="2">
        <v>0</v>
      </c>
      <c r="AB574" s="2">
        <v>0</v>
      </c>
    </row>
    <row r="575" spans="1:28" x14ac:dyDescent="0.2">
      <c r="A575" s="2" t="s">
        <v>1254</v>
      </c>
      <c r="B575" s="2" t="s">
        <v>39</v>
      </c>
      <c r="C575" s="2">
        <v>26</v>
      </c>
      <c r="D575" s="2">
        <v>3</v>
      </c>
      <c r="E575" s="2" t="s">
        <v>201</v>
      </c>
      <c r="F575" s="2" t="s">
        <v>1210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v>0</v>
      </c>
      <c r="X575" s="2">
        <v>0</v>
      </c>
      <c r="Y575" s="2">
        <v>0</v>
      </c>
      <c r="Z575" s="2">
        <v>0</v>
      </c>
      <c r="AA575" s="2">
        <v>0</v>
      </c>
      <c r="AB575" s="2">
        <v>0</v>
      </c>
    </row>
    <row r="576" spans="1:28" x14ac:dyDescent="0.2">
      <c r="A576" s="2" t="s">
        <v>1255</v>
      </c>
      <c r="B576" s="2" t="s">
        <v>39</v>
      </c>
      <c r="C576" s="2">
        <v>25</v>
      </c>
      <c r="D576" s="2">
        <v>0</v>
      </c>
      <c r="E576" s="2" t="s">
        <v>75</v>
      </c>
      <c r="F576" s="2" t="s">
        <v>1210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0</v>
      </c>
      <c r="V576" s="2">
        <v>0</v>
      </c>
      <c r="W576" s="2">
        <v>0</v>
      </c>
      <c r="X576" s="2">
        <v>0</v>
      </c>
      <c r="Y576" s="2">
        <v>0</v>
      </c>
      <c r="Z576" s="2">
        <v>0</v>
      </c>
      <c r="AA576" s="2">
        <v>0</v>
      </c>
      <c r="AB576" s="2">
        <v>0</v>
      </c>
    </row>
    <row r="577" spans="1:28" x14ac:dyDescent="0.2">
      <c r="A577" s="2" t="s">
        <v>1274</v>
      </c>
      <c r="B577" s="2" t="s">
        <v>27</v>
      </c>
      <c r="C577" s="2">
        <v>24</v>
      </c>
      <c r="D577" s="2">
        <v>0</v>
      </c>
      <c r="E577" s="2" t="s">
        <v>447</v>
      </c>
      <c r="F577" s="2" t="s">
        <v>1258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2">
        <v>0</v>
      </c>
      <c r="X577" s="2">
        <v>0</v>
      </c>
      <c r="Y577" s="2">
        <v>0</v>
      </c>
      <c r="Z577" s="2">
        <v>0</v>
      </c>
      <c r="AA577" s="2">
        <v>0</v>
      </c>
      <c r="AB577" s="2">
        <v>0</v>
      </c>
    </row>
    <row r="578" spans="1:28" x14ac:dyDescent="0.2">
      <c r="A578" s="2" t="s">
        <v>1275</v>
      </c>
      <c r="B578" s="2" t="s">
        <v>27</v>
      </c>
      <c r="C578" s="2">
        <v>26</v>
      </c>
      <c r="D578" s="2">
        <v>4</v>
      </c>
      <c r="E578" s="2" t="s">
        <v>819</v>
      </c>
      <c r="F578" s="2" t="s">
        <v>1258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2">
        <v>0</v>
      </c>
      <c r="Y578" s="2">
        <v>0</v>
      </c>
      <c r="Z578" s="2">
        <v>0</v>
      </c>
      <c r="AA578" s="2">
        <v>0</v>
      </c>
      <c r="AB578" s="2">
        <v>0</v>
      </c>
    </row>
    <row r="579" spans="1:28" x14ac:dyDescent="0.2">
      <c r="A579" s="2" t="s">
        <v>1276</v>
      </c>
      <c r="B579" s="2" t="s">
        <v>27</v>
      </c>
      <c r="C579" s="2">
        <v>33</v>
      </c>
      <c r="D579" s="2">
        <v>12</v>
      </c>
      <c r="E579" s="2" t="s">
        <v>332</v>
      </c>
      <c r="F579" s="2" t="s">
        <v>1258</v>
      </c>
      <c r="G579" s="2">
        <v>0</v>
      </c>
      <c r="H579" s="2">
        <v>0</v>
      </c>
      <c r="I579" s="2">
        <v>0</v>
      </c>
      <c r="J579" s="2">
        <v>0</v>
      </c>
      <c r="K579" s="2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2">
        <v>0</v>
      </c>
      <c r="Y579" s="2">
        <v>0</v>
      </c>
      <c r="Z579" s="2">
        <v>0</v>
      </c>
      <c r="AA579" s="2">
        <v>0</v>
      </c>
      <c r="AB579" s="2">
        <v>0</v>
      </c>
    </row>
    <row r="580" spans="1:28" x14ac:dyDescent="0.2">
      <c r="A580" s="2" t="s">
        <v>1277</v>
      </c>
      <c r="B580" s="2" t="s">
        <v>32</v>
      </c>
      <c r="C580" s="2">
        <v>26</v>
      </c>
      <c r="D580" s="2">
        <v>5</v>
      </c>
      <c r="E580" s="2" t="s">
        <v>340</v>
      </c>
      <c r="F580" s="2" t="s">
        <v>1258</v>
      </c>
      <c r="G580" s="2">
        <v>0</v>
      </c>
      <c r="H580" s="2">
        <v>0</v>
      </c>
      <c r="I580" s="2">
        <v>0</v>
      </c>
      <c r="J580" s="2">
        <v>0</v>
      </c>
      <c r="K580" s="2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2">
        <v>0</v>
      </c>
      <c r="X580" s="2">
        <v>0</v>
      </c>
      <c r="Y580" s="2">
        <v>0</v>
      </c>
      <c r="Z580" s="2">
        <v>0</v>
      </c>
      <c r="AA580" s="2">
        <v>0</v>
      </c>
      <c r="AB580" s="2">
        <v>0</v>
      </c>
    </row>
    <row r="581" spans="1:28" x14ac:dyDescent="0.2">
      <c r="A581" s="2" t="s">
        <v>1278</v>
      </c>
      <c r="B581" s="2" t="s">
        <v>32</v>
      </c>
      <c r="C581" s="2">
        <v>28</v>
      </c>
      <c r="D581" s="2">
        <v>6</v>
      </c>
      <c r="E581" s="2" t="s">
        <v>923</v>
      </c>
      <c r="F581" s="2" t="s">
        <v>1258</v>
      </c>
      <c r="G581" s="2">
        <v>0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">
        <v>0</v>
      </c>
      <c r="S581" s="2">
        <v>0</v>
      </c>
      <c r="T581" s="2">
        <v>0</v>
      </c>
      <c r="U581" s="2">
        <v>0</v>
      </c>
      <c r="V581" s="2">
        <v>0</v>
      </c>
      <c r="W581" s="2">
        <v>0</v>
      </c>
      <c r="X581" s="2">
        <v>0</v>
      </c>
      <c r="Y581" s="2">
        <v>0</v>
      </c>
      <c r="Z581" s="2">
        <v>0</v>
      </c>
      <c r="AA581" s="2">
        <v>0</v>
      </c>
      <c r="AB581" s="2">
        <v>0</v>
      </c>
    </row>
    <row r="582" spans="1:28" x14ac:dyDescent="0.2">
      <c r="A582" s="2" t="s">
        <v>1279</v>
      </c>
      <c r="B582" s="2" t="s">
        <v>32</v>
      </c>
      <c r="C582" s="2">
        <v>25</v>
      </c>
      <c r="D582" s="2">
        <v>2</v>
      </c>
      <c r="E582" s="2" t="s">
        <v>1188</v>
      </c>
      <c r="F582" s="2" t="s">
        <v>1258</v>
      </c>
      <c r="G582" s="2">
        <v>0</v>
      </c>
      <c r="H582" s="2">
        <v>0</v>
      </c>
      <c r="I582" s="2">
        <v>0</v>
      </c>
      <c r="J582" s="2">
        <v>0</v>
      </c>
      <c r="K582" s="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">
        <v>0</v>
      </c>
      <c r="S582" s="2">
        <v>0</v>
      </c>
      <c r="T582" s="2">
        <v>0</v>
      </c>
      <c r="U582" s="2">
        <v>0</v>
      </c>
      <c r="V582" s="2">
        <v>0</v>
      </c>
      <c r="W582" s="2">
        <v>0</v>
      </c>
      <c r="X582" s="2">
        <v>0</v>
      </c>
      <c r="Y582" s="2">
        <v>0</v>
      </c>
      <c r="Z582" s="2">
        <v>0</v>
      </c>
      <c r="AA582" s="2">
        <v>0</v>
      </c>
      <c r="AB582" s="2">
        <v>0</v>
      </c>
    </row>
    <row r="583" spans="1:28" x14ac:dyDescent="0.2">
      <c r="A583" s="2" t="s">
        <v>1280</v>
      </c>
      <c r="B583" s="2" t="s">
        <v>32</v>
      </c>
      <c r="C583" s="2">
        <v>22</v>
      </c>
      <c r="D583" s="2">
        <v>0</v>
      </c>
      <c r="E583" s="2" t="s">
        <v>744</v>
      </c>
      <c r="F583" s="2" t="s">
        <v>1258</v>
      </c>
      <c r="G583" s="2">
        <v>0</v>
      </c>
      <c r="H583" s="2">
        <v>0</v>
      </c>
      <c r="I583" s="2">
        <v>0</v>
      </c>
      <c r="J583" s="2">
        <v>0</v>
      </c>
      <c r="K583" s="2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0</v>
      </c>
      <c r="S583" s="2">
        <v>0</v>
      </c>
      <c r="T583" s="2">
        <v>0</v>
      </c>
      <c r="U583" s="2">
        <v>0</v>
      </c>
      <c r="V583" s="2">
        <v>0</v>
      </c>
      <c r="W583" s="2">
        <v>0</v>
      </c>
      <c r="X583" s="2">
        <v>0</v>
      </c>
      <c r="Y583" s="2">
        <v>0</v>
      </c>
      <c r="Z583" s="2">
        <v>0</v>
      </c>
      <c r="AA583" s="2">
        <v>0</v>
      </c>
      <c r="AB583" s="2">
        <v>0</v>
      </c>
    </row>
    <row r="584" spans="1:28" x14ac:dyDescent="0.2">
      <c r="A584" s="2" t="s">
        <v>1281</v>
      </c>
      <c r="B584" s="2" t="s">
        <v>32</v>
      </c>
      <c r="C584" s="2">
        <v>23</v>
      </c>
      <c r="D584" s="2">
        <v>0</v>
      </c>
      <c r="E584" s="2" t="s">
        <v>69</v>
      </c>
      <c r="F584" s="2" t="s">
        <v>1258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0</v>
      </c>
      <c r="V584" s="2">
        <v>0</v>
      </c>
      <c r="W584" s="2">
        <v>0</v>
      </c>
      <c r="X584" s="2">
        <v>0</v>
      </c>
      <c r="Y584" s="2">
        <v>0</v>
      </c>
      <c r="Z584" s="2">
        <v>0</v>
      </c>
      <c r="AA584" s="2">
        <v>0</v>
      </c>
      <c r="AB584" s="2">
        <v>0</v>
      </c>
    </row>
    <row r="585" spans="1:28" x14ac:dyDescent="0.2">
      <c r="A585" s="2" t="s">
        <v>1282</v>
      </c>
      <c r="B585" s="2" t="s">
        <v>44</v>
      </c>
      <c r="C585" s="2">
        <v>25</v>
      </c>
      <c r="D585" s="2">
        <v>4</v>
      </c>
      <c r="E585" s="2" t="s">
        <v>209</v>
      </c>
      <c r="F585" s="2" t="s">
        <v>1258</v>
      </c>
      <c r="G585" s="2">
        <v>0</v>
      </c>
      <c r="H585" s="2">
        <v>0</v>
      </c>
      <c r="I585" s="2">
        <v>0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0</v>
      </c>
      <c r="V585" s="2">
        <v>0</v>
      </c>
      <c r="W585" s="2">
        <v>0</v>
      </c>
      <c r="X585" s="2">
        <v>0</v>
      </c>
      <c r="Y585" s="2">
        <v>0</v>
      </c>
      <c r="Z585" s="2">
        <v>0</v>
      </c>
      <c r="AA585" s="2">
        <v>0</v>
      </c>
      <c r="AB585" s="2">
        <v>0</v>
      </c>
    </row>
    <row r="586" spans="1:28" x14ac:dyDescent="0.2">
      <c r="A586" s="2" t="s">
        <v>1283</v>
      </c>
      <c r="B586" s="2" t="s">
        <v>44</v>
      </c>
      <c r="C586" s="2">
        <v>30</v>
      </c>
      <c r="D586" s="2">
        <v>8</v>
      </c>
      <c r="E586" s="2" t="s">
        <v>819</v>
      </c>
      <c r="F586" s="2" t="s">
        <v>1258</v>
      </c>
      <c r="G586" s="2">
        <v>0</v>
      </c>
      <c r="H586" s="2">
        <v>0</v>
      </c>
      <c r="I586" s="2">
        <v>0</v>
      </c>
      <c r="J586" s="2">
        <v>0</v>
      </c>
      <c r="K586" s="2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0</v>
      </c>
      <c r="S586" s="2">
        <v>0</v>
      </c>
      <c r="T586" s="2">
        <v>0</v>
      </c>
      <c r="U586" s="2">
        <v>0</v>
      </c>
      <c r="V586" s="2">
        <v>0</v>
      </c>
      <c r="W586" s="2">
        <v>0</v>
      </c>
      <c r="X586" s="2">
        <v>0</v>
      </c>
      <c r="Y586" s="2">
        <v>0</v>
      </c>
      <c r="Z586" s="2">
        <v>0</v>
      </c>
      <c r="AA586" s="2">
        <v>0</v>
      </c>
      <c r="AB586" s="2">
        <v>0</v>
      </c>
    </row>
    <row r="587" spans="1:28" x14ac:dyDescent="0.2">
      <c r="A587" s="2" t="s">
        <v>1284</v>
      </c>
      <c r="B587" s="2" t="s">
        <v>44</v>
      </c>
      <c r="C587" s="2">
        <v>23</v>
      </c>
      <c r="D587" s="2">
        <v>0</v>
      </c>
      <c r="E587" s="2" t="s">
        <v>345</v>
      </c>
      <c r="F587" s="2" t="s">
        <v>1258</v>
      </c>
      <c r="G587" s="2">
        <v>0</v>
      </c>
      <c r="H587" s="2">
        <v>0</v>
      </c>
      <c r="I587" s="2">
        <v>0</v>
      </c>
      <c r="J587" s="2">
        <v>0</v>
      </c>
      <c r="K587" s="2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0</v>
      </c>
      <c r="S587" s="2">
        <v>0</v>
      </c>
      <c r="T587" s="2">
        <v>0</v>
      </c>
      <c r="U587" s="2">
        <v>0</v>
      </c>
      <c r="V587" s="2">
        <v>0</v>
      </c>
      <c r="W587" s="2">
        <v>0</v>
      </c>
      <c r="X587" s="2">
        <v>0</v>
      </c>
      <c r="Y587" s="2">
        <v>0</v>
      </c>
      <c r="Z587" s="2">
        <v>0</v>
      </c>
      <c r="AA587" s="2">
        <v>0</v>
      </c>
      <c r="AB587" s="2">
        <v>0</v>
      </c>
    </row>
    <row r="588" spans="1:28" x14ac:dyDescent="0.2">
      <c r="A588" s="2" t="s">
        <v>1285</v>
      </c>
      <c r="B588" s="2" t="s">
        <v>44</v>
      </c>
      <c r="C588" s="2">
        <v>24</v>
      </c>
      <c r="D588" s="2">
        <v>2</v>
      </c>
      <c r="E588" s="2" t="s">
        <v>108</v>
      </c>
      <c r="F588" s="2" t="s">
        <v>1258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2">
        <v>0</v>
      </c>
      <c r="X588" s="2">
        <v>0</v>
      </c>
      <c r="Y588" s="2">
        <v>0</v>
      </c>
      <c r="Z588" s="2">
        <v>0</v>
      </c>
      <c r="AA588" s="2">
        <v>0</v>
      </c>
      <c r="AB588" s="2">
        <v>0</v>
      </c>
    </row>
    <row r="589" spans="1:28" x14ac:dyDescent="0.2">
      <c r="A589" s="2" t="s">
        <v>1286</v>
      </c>
      <c r="B589" s="2" t="s">
        <v>44</v>
      </c>
      <c r="C589" s="2">
        <v>21</v>
      </c>
      <c r="D589" s="2">
        <v>0</v>
      </c>
      <c r="E589" s="2" t="s">
        <v>141</v>
      </c>
      <c r="F589" s="2" t="s">
        <v>1258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0</v>
      </c>
      <c r="S589" s="2">
        <v>0</v>
      </c>
      <c r="T589" s="2">
        <v>0</v>
      </c>
      <c r="U589" s="2">
        <v>0</v>
      </c>
      <c r="V589" s="2">
        <v>0</v>
      </c>
      <c r="W589" s="2">
        <v>0</v>
      </c>
      <c r="X589" s="2">
        <v>0</v>
      </c>
      <c r="Y589" s="2">
        <v>0</v>
      </c>
      <c r="Z589" s="2">
        <v>0</v>
      </c>
      <c r="AA589" s="2">
        <v>0</v>
      </c>
      <c r="AB589" s="2">
        <v>0</v>
      </c>
    </row>
    <row r="590" spans="1:28" x14ac:dyDescent="0.2">
      <c r="A590" s="2" t="s">
        <v>1287</v>
      </c>
      <c r="B590" s="2" t="s">
        <v>44</v>
      </c>
      <c r="C590" s="2">
        <v>25</v>
      </c>
      <c r="D590" s="2">
        <v>3</v>
      </c>
      <c r="E590" s="2" t="s">
        <v>67</v>
      </c>
      <c r="F590" s="2" t="s">
        <v>1258</v>
      </c>
      <c r="G590" s="2">
        <v>0</v>
      </c>
      <c r="H590" s="2">
        <v>0</v>
      </c>
      <c r="I590" s="2">
        <v>0</v>
      </c>
      <c r="J590" s="2">
        <v>0</v>
      </c>
      <c r="K590" s="2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0</v>
      </c>
      <c r="V590" s="2">
        <v>0</v>
      </c>
      <c r="W590" s="2">
        <v>0</v>
      </c>
      <c r="X590" s="2">
        <v>0</v>
      </c>
      <c r="Y590" s="2">
        <v>0</v>
      </c>
      <c r="Z590" s="2">
        <v>0</v>
      </c>
      <c r="AA590" s="2">
        <v>0</v>
      </c>
      <c r="AB590" s="2">
        <v>0</v>
      </c>
    </row>
    <row r="591" spans="1:28" x14ac:dyDescent="0.2">
      <c r="A591" s="2" t="s">
        <v>1288</v>
      </c>
      <c r="B591" s="2" t="s">
        <v>44</v>
      </c>
      <c r="C591" s="2">
        <v>29</v>
      </c>
      <c r="D591" s="2">
        <v>5</v>
      </c>
      <c r="E591" s="2" t="s">
        <v>85</v>
      </c>
      <c r="F591" s="2" t="s">
        <v>1258</v>
      </c>
      <c r="G591" s="2">
        <v>0</v>
      </c>
      <c r="H591" s="2">
        <v>0</v>
      </c>
      <c r="I591" s="2">
        <v>0</v>
      </c>
      <c r="J591" s="2">
        <v>0</v>
      </c>
      <c r="K591" s="2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2">
        <v>0</v>
      </c>
      <c r="X591" s="2">
        <v>0</v>
      </c>
      <c r="Y591" s="2">
        <v>0</v>
      </c>
      <c r="Z591" s="2">
        <v>0</v>
      </c>
      <c r="AA591" s="2">
        <v>0</v>
      </c>
      <c r="AB591" s="2">
        <v>0</v>
      </c>
    </row>
    <row r="592" spans="1:28" x14ac:dyDescent="0.2">
      <c r="A592" s="2" t="s">
        <v>1289</v>
      </c>
      <c r="B592" s="2" t="s">
        <v>44</v>
      </c>
      <c r="C592" s="2">
        <v>24</v>
      </c>
      <c r="D592" s="2">
        <v>0</v>
      </c>
      <c r="E592" s="2" t="s">
        <v>309</v>
      </c>
      <c r="F592" s="2" t="s">
        <v>1258</v>
      </c>
      <c r="G592" s="2">
        <v>0</v>
      </c>
      <c r="H592" s="2">
        <v>0</v>
      </c>
      <c r="I592" s="2">
        <v>0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0</v>
      </c>
      <c r="S592" s="2">
        <v>0</v>
      </c>
      <c r="T592" s="2">
        <v>0</v>
      </c>
      <c r="U592" s="2">
        <v>0</v>
      </c>
      <c r="V592" s="2">
        <v>0</v>
      </c>
      <c r="W592" s="2">
        <v>0</v>
      </c>
      <c r="X592" s="2">
        <v>0</v>
      </c>
      <c r="Y592" s="2">
        <v>0</v>
      </c>
      <c r="Z592" s="2">
        <v>0</v>
      </c>
      <c r="AA592" s="2">
        <v>0</v>
      </c>
      <c r="AB592" s="2">
        <v>0</v>
      </c>
    </row>
    <row r="593" spans="1:28" x14ac:dyDescent="0.2">
      <c r="A593" s="2" t="s">
        <v>1290</v>
      </c>
      <c r="B593" s="2" t="s">
        <v>44</v>
      </c>
      <c r="C593" s="2">
        <v>21</v>
      </c>
      <c r="D593" s="2">
        <v>0</v>
      </c>
      <c r="E593" s="2" t="s">
        <v>550</v>
      </c>
      <c r="F593" s="2" t="s">
        <v>1258</v>
      </c>
      <c r="G593" s="2">
        <v>0</v>
      </c>
      <c r="H593" s="2">
        <v>0</v>
      </c>
      <c r="I593" s="2">
        <v>0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2">
        <v>0</v>
      </c>
      <c r="X593" s="2">
        <v>0</v>
      </c>
      <c r="Y593" s="2">
        <v>0</v>
      </c>
      <c r="Z593" s="2">
        <v>0</v>
      </c>
      <c r="AA593" s="2">
        <v>0</v>
      </c>
      <c r="AB593" s="2">
        <v>0</v>
      </c>
    </row>
    <row r="594" spans="1:28" x14ac:dyDescent="0.2">
      <c r="A594" s="2" t="s">
        <v>1291</v>
      </c>
      <c r="B594" s="2" t="s">
        <v>44</v>
      </c>
      <c r="C594" s="2">
        <v>22</v>
      </c>
      <c r="D594" s="2">
        <v>0</v>
      </c>
      <c r="E594" s="2" t="s">
        <v>148</v>
      </c>
      <c r="F594" s="2" t="s">
        <v>1258</v>
      </c>
      <c r="G594" s="2">
        <v>0</v>
      </c>
      <c r="H594" s="2">
        <v>0</v>
      </c>
      <c r="I594" s="2">
        <v>0</v>
      </c>
      <c r="J594" s="2">
        <v>0</v>
      </c>
      <c r="K594" s="2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0</v>
      </c>
      <c r="V594" s="2">
        <v>0</v>
      </c>
      <c r="W594" s="2">
        <v>0</v>
      </c>
      <c r="X594" s="2">
        <v>0</v>
      </c>
      <c r="Y594" s="2">
        <v>0</v>
      </c>
      <c r="Z594" s="2">
        <v>0</v>
      </c>
      <c r="AA594" s="2">
        <v>0</v>
      </c>
      <c r="AB594" s="2">
        <v>0</v>
      </c>
    </row>
    <row r="595" spans="1:28" x14ac:dyDescent="0.2">
      <c r="A595" s="2" t="s">
        <v>1292</v>
      </c>
      <c r="B595" s="2" t="s">
        <v>44</v>
      </c>
      <c r="C595" s="2">
        <v>30</v>
      </c>
      <c r="D595" s="2">
        <v>7</v>
      </c>
      <c r="E595" s="2" t="s">
        <v>69</v>
      </c>
      <c r="F595" s="2" t="s">
        <v>1258</v>
      </c>
      <c r="G595" s="2">
        <v>0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0</v>
      </c>
      <c r="S595" s="2">
        <v>0</v>
      </c>
      <c r="T595" s="2">
        <v>0</v>
      </c>
      <c r="U595" s="2">
        <v>0</v>
      </c>
      <c r="V595" s="2">
        <v>0</v>
      </c>
      <c r="W595" s="2">
        <v>0</v>
      </c>
      <c r="X595" s="2">
        <v>0</v>
      </c>
      <c r="Y595" s="2">
        <v>0</v>
      </c>
      <c r="Z595" s="2">
        <v>0</v>
      </c>
      <c r="AA595" s="2">
        <v>0</v>
      </c>
      <c r="AB595" s="2">
        <v>0</v>
      </c>
    </row>
    <row r="596" spans="1:28" x14ac:dyDescent="0.2">
      <c r="A596" s="2" t="s">
        <v>1293</v>
      </c>
      <c r="B596" s="2" t="s">
        <v>44</v>
      </c>
      <c r="C596" s="2">
        <v>27</v>
      </c>
      <c r="D596" s="2">
        <v>2</v>
      </c>
      <c r="E596" s="2" t="s">
        <v>345</v>
      </c>
      <c r="F596" s="2" t="s">
        <v>1258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0</v>
      </c>
      <c r="S596" s="2">
        <v>0</v>
      </c>
      <c r="T596" s="2">
        <v>0</v>
      </c>
      <c r="U596" s="2">
        <v>0</v>
      </c>
      <c r="V596" s="2">
        <v>0</v>
      </c>
      <c r="W596" s="2">
        <v>0</v>
      </c>
      <c r="X596" s="2">
        <v>0</v>
      </c>
      <c r="Y596" s="2">
        <v>0</v>
      </c>
      <c r="Z596" s="2">
        <v>0</v>
      </c>
      <c r="AA596" s="2">
        <v>0</v>
      </c>
      <c r="AB596" s="2">
        <v>0</v>
      </c>
    </row>
    <row r="597" spans="1:28" x14ac:dyDescent="0.2">
      <c r="A597" s="2" t="s">
        <v>1294</v>
      </c>
      <c r="B597" s="2" t="s">
        <v>44</v>
      </c>
      <c r="C597" s="2">
        <v>26</v>
      </c>
      <c r="D597" s="2">
        <v>4</v>
      </c>
      <c r="E597" s="2" t="s">
        <v>466</v>
      </c>
      <c r="F597" s="2" t="s">
        <v>1258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0</v>
      </c>
      <c r="S597" s="2">
        <v>0</v>
      </c>
      <c r="T597" s="2">
        <v>0</v>
      </c>
      <c r="U597" s="2">
        <v>0</v>
      </c>
      <c r="V597" s="2">
        <v>0</v>
      </c>
      <c r="W597" s="2">
        <v>0</v>
      </c>
      <c r="X597" s="2">
        <v>0</v>
      </c>
      <c r="Y597" s="2">
        <v>0</v>
      </c>
      <c r="Z597" s="2">
        <v>0</v>
      </c>
      <c r="AA597" s="2">
        <v>0</v>
      </c>
      <c r="AB597" s="2">
        <v>0</v>
      </c>
    </row>
    <row r="598" spans="1:28" x14ac:dyDescent="0.2">
      <c r="A598" s="2" t="s">
        <v>1295</v>
      </c>
      <c r="B598" s="2" t="s">
        <v>44</v>
      </c>
      <c r="C598" s="2">
        <v>26</v>
      </c>
      <c r="D598" s="2">
        <v>3</v>
      </c>
      <c r="E598" s="2" t="s">
        <v>230</v>
      </c>
      <c r="F598" s="2" t="s">
        <v>1258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0</v>
      </c>
      <c r="S598" s="2">
        <v>0</v>
      </c>
      <c r="T598" s="2">
        <v>0</v>
      </c>
      <c r="U598" s="2">
        <v>0</v>
      </c>
      <c r="V598" s="2">
        <v>0</v>
      </c>
      <c r="W598" s="2">
        <v>0</v>
      </c>
      <c r="X598" s="2">
        <v>0</v>
      </c>
      <c r="Y598" s="2">
        <v>0</v>
      </c>
      <c r="Z598" s="2">
        <v>0</v>
      </c>
      <c r="AA598" s="2">
        <v>0</v>
      </c>
      <c r="AB598" s="2">
        <v>0</v>
      </c>
    </row>
    <row r="599" spans="1:28" x14ac:dyDescent="0.2">
      <c r="A599" s="2" t="s">
        <v>1296</v>
      </c>
      <c r="B599" s="2" t="s">
        <v>39</v>
      </c>
      <c r="C599" s="2">
        <v>22</v>
      </c>
      <c r="D599" s="2">
        <v>0</v>
      </c>
      <c r="E599" s="2" t="s">
        <v>666</v>
      </c>
      <c r="F599" s="2" t="s">
        <v>1258</v>
      </c>
      <c r="G599" s="2">
        <v>0</v>
      </c>
      <c r="H599" s="2">
        <v>0</v>
      </c>
      <c r="I599" s="2">
        <v>0</v>
      </c>
      <c r="J599" s="2">
        <v>0</v>
      </c>
      <c r="K599" s="2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0</v>
      </c>
      <c r="V599" s="2">
        <v>0</v>
      </c>
      <c r="W599" s="2">
        <v>0</v>
      </c>
      <c r="X599" s="2">
        <v>0</v>
      </c>
      <c r="Y599" s="2">
        <v>0</v>
      </c>
      <c r="Z599" s="2">
        <v>0</v>
      </c>
      <c r="AA599" s="2">
        <v>0</v>
      </c>
      <c r="AB599" s="2">
        <v>0</v>
      </c>
    </row>
    <row r="600" spans="1:28" x14ac:dyDescent="0.2">
      <c r="A600" s="2" t="s">
        <v>1297</v>
      </c>
      <c r="B600" s="2" t="s">
        <v>39</v>
      </c>
      <c r="C600" s="2">
        <v>25</v>
      </c>
      <c r="D600" s="2">
        <v>2</v>
      </c>
      <c r="E600" s="2" t="s">
        <v>171</v>
      </c>
      <c r="F600" s="2" t="s">
        <v>1258</v>
      </c>
      <c r="G600" s="2">
        <v>0</v>
      </c>
      <c r="H600" s="2">
        <v>0</v>
      </c>
      <c r="I600" s="2">
        <v>0</v>
      </c>
      <c r="J600" s="2">
        <v>0</v>
      </c>
      <c r="K600" s="2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0</v>
      </c>
      <c r="V600" s="2">
        <v>0</v>
      </c>
      <c r="W600" s="2">
        <v>0</v>
      </c>
      <c r="X600" s="2">
        <v>0</v>
      </c>
      <c r="Y600" s="2">
        <v>0</v>
      </c>
      <c r="Z600" s="2">
        <v>0</v>
      </c>
      <c r="AA600" s="2">
        <v>0</v>
      </c>
      <c r="AB600" s="2">
        <v>0</v>
      </c>
    </row>
    <row r="601" spans="1:28" x14ac:dyDescent="0.2">
      <c r="A601" s="2" t="s">
        <v>1298</v>
      </c>
      <c r="B601" s="2" t="s">
        <v>39</v>
      </c>
      <c r="C601" s="2">
        <v>23</v>
      </c>
      <c r="D601" s="2">
        <v>0</v>
      </c>
      <c r="E601" s="2" t="s">
        <v>215</v>
      </c>
      <c r="F601" s="2" t="s">
        <v>1258</v>
      </c>
      <c r="G601" s="2">
        <v>0</v>
      </c>
      <c r="H601" s="2">
        <v>0</v>
      </c>
      <c r="I601" s="2">
        <v>0</v>
      </c>
      <c r="J601" s="2">
        <v>0</v>
      </c>
      <c r="K601" s="2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0</v>
      </c>
      <c r="V601" s="2">
        <v>0</v>
      </c>
      <c r="W601" s="2">
        <v>0</v>
      </c>
      <c r="X601" s="2">
        <v>0</v>
      </c>
      <c r="Y601" s="2">
        <v>0</v>
      </c>
      <c r="Z601" s="2">
        <v>0</v>
      </c>
      <c r="AA601" s="2">
        <v>0</v>
      </c>
      <c r="AB601" s="2">
        <v>0</v>
      </c>
    </row>
    <row r="602" spans="1:28" x14ac:dyDescent="0.2">
      <c r="A602" s="2" t="s">
        <v>1299</v>
      </c>
      <c r="B602" s="2" t="s">
        <v>39</v>
      </c>
      <c r="C602" s="2">
        <v>28</v>
      </c>
      <c r="D602" s="2">
        <v>4</v>
      </c>
      <c r="E602" s="2" t="s">
        <v>230</v>
      </c>
      <c r="F602" s="2" t="s">
        <v>1258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0</v>
      </c>
      <c r="V602" s="2">
        <v>0</v>
      </c>
      <c r="W602" s="2">
        <v>0</v>
      </c>
      <c r="X602" s="2">
        <v>0</v>
      </c>
      <c r="Y602" s="2">
        <v>0</v>
      </c>
      <c r="Z602" s="2">
        <v>0</v>
      </c>
      <c r="AA602" s="2">
        <v>0</v>
      </c>
      <c r="AB602" s="2">
        <v>0</v>
      </c>
    </row>
    <row r="603" spans="1:28" x14ac:dyDescent="0.2">
      <c r="A603" s="2" t="s">
        <v>1317</v>
      </c>
      <c r="B603" s="2" t="s">
        <v>27</v>
      </c>
      <c r="C603" s="2">
        <v>28</v>
      </c>
      <c r="D603" s="2">
        <v>5</v>
      </c>
      <c r="E603" s="2" t="s">
        <v>1318</v>
      </c>
      <c r="F603" s="2" t="s">
        <v>1302</v>
      </c>
      <c r="G603" s="2">
        <v>0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0</v>
      </c>
      <c r="V603" s="2">
        <v>0</v>
      </c>
      <c r="W603" s="2">
        <v>0</v>
      </c>
      <c r="X603" s="2">
        <v>0</v>
      </c>
      <c r="Y603" s="2">
        <v>0</v>
      </c>
      <c r="Z603" s="2">
        <v>0</v>
      </c>
      <c r="AA603" s="2">
        <v>0</v>
      </c>
      <c r="AB603" s="2">
        <v>0</v>
      </c>
    </row>
    <row r="604" spans="1:28" x14ac:dyDescent="0.2">
      <c r="A604" s="2" t="s">
        <v>1319</v>
      </c>
      <c r="B604" s="2" t="s">
        <v>27</v>
      </c>
      <c r="C604" s="2">
        <v>39</v>
      </c>
      <c r="D604" s="2">
        <v>18</v>
      </c>
      <c r="E604" s="2" t="s">
        <v>422</v>
      </c>
      <c r="F604" s="2" t="s">
        <v>1302</v>
      </c>
      <c r="G604" s="2">
        <v>0</v>
      </c>
      <c r="H604" s="2">
        <v>0</v>
      </c>
      <c r="I604" s="2">
        <v>0</v>
      </c>
      <c r="J604" s="2">
        <v>0</v>
      </c>
      <c r="K604" s="2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0</v>
      </c>
      <c r="S604" s="2">
        <v>0</v>
      </c>
      <c r="T604" s="2">
        <v>0</v>
      </c>
      <c r="U604" s="2">
        <v>0</v>
      </c>
      <c r="V604" s="2">
        <v>0</v>
      </c>
      <c r="W604" s="2">
        <v>0</v>
      </c>
      <c r="X604" s="2">
        <v>0</v>
      </c>
      <c r="Y604" s="2">
        <v>0</v>
      </c>
      <c r="Z604" s="2">
        <v>0</v>
      </c>
      <c r="AA604" s="2">
        <v>0</v>
      </c>
      <c r="AB604" s="2">
        <v>0</v>
      </c>
    </row>
    <row r="605" spans="1:28" x14ac:dyDescent="0.2">
      <c r="A605" s="2" t="s">
        <v>1320</v>
      </c>
      <c r="B605" s="2" t="s">
        <v>27</v>
      </c>
      <c r="C605" s="2">
        <v>28</v>
      </c>
      <c r="D605" s="2">
        <v>3</v>
      </c>
      <c r="E605" s="2" t="s">
        <v>1321</v>
      </c>
      <c r="F605" s="2" t="s">
        <v>1302</v>
      </c>
      <c r="G605" s="2">
        <v>0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0</v>
      </c>
      <c r="S605" s="2">
        <v>0</v>
      </c>
      <c r="T605" s="2">
        <v>0</v>
      </c>
      <c r="U605" s="2">
        <v>0</v>
      </c>
      <c r="V605" s="2">
        <v>0</v>
      </c>
      <c r="W605" s="2">
        <v>0</v>
      </c>
      <c r="X605" s="2">
        <v>0</v>
      </c>
      <c r="Y605" s="2">
        <v>0</v>
      </c>
      <c r="Z605" s="2">
        <v>0</v>
      </c>
      <c r="AA605" s="2">
        <v>0</v>
      </c>
      <c r="AB605" s="2">
        <v>0</v>
      </c>
    </row>
    <row r="606" spans="1:28" x14ac:dyDescent="0.2">
      <c r="A606" s="2" t="s">
        <v>1322</v>
      </c>
      <c r="B606" s="2" t="s">
        <v>27</v>
      </c>
      <c r="C606" s="2">
        <v>23</v>
      </c>
      <c r="D606" s="2">
        <v>1</v>
      </c>
      <c r="E606" s="2" t="s">
        <v>81</v>
      </c>
      <c r="F606" s="2" t="s">
        <v>1302</v>
      </c>
      <c r="G606" s="2">
        <v>0</v>
      </c>
      <c r="H606" s="2">
        <v>0</v>
      </c>
      <c r="I606" s="2">
        <v>0</v>
      </c>
      <c r="J606" s="2">
        <v>0</v>
      </c>
      <c r="K606" s="2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0</v>
      </c>
      <c r="S606" s="2">
        <v>0</v>
      </c>
      <c r="T606" s="2">
        <v>0</v>
      </c>
      <c r="U606" s="2">
        <v>0</v>
      </c>
      <c r="V606" s="2">
        <v>0</v>
      </c>
      <c r="W606" s="2">
        <v>0</v>
      </c>
      <c r="X606" s="2">
        <v>0</v>
      </c>
      <c r="Y606" s="2">
        <v>0</v>
      </c>
      <c r="Z606" s="2">
        <v>0</v>
      </c>
      <c r="AA606" s="2">
        <v>0</v>
      </c>
      <c r="AB606" s="2">
        <v>0</v>
      </c>
    </row>
    <row r="607" spans="1:28" x14ac:dyDescent="0.2">
      <c r="A607" s="2" t="s">
        <v>1323</v>
      </c>
      <c r="B607" s="2" t="s">
        <v>32</v>
      </c>
      <c r="C607" s="2">
        <v>20</v>
      </c>
      <c r="D607" s="2">
        <v>0</v>
      </c>
      <c r="E607" s="2" t="s">
        <v>75</v>
      </c>
      <c r="F607" s="2" t="s">
        <v>1302</v>
      </c>
      <c r="G607" s="2">
        <v>0</v>
      </c>
      <c r="H607" s="2">
        <v>0</v>
      </c>
      <c r="I607" s="2">
        <v>0</v>
      </c>
      <c r="J607" s="2">
        <v>0</v>
      </c>
      <c r="K607" s="2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0</v>
      </c>
      <c r="S607" s="2">
        <v>0</v>
      </c>
      <c r="T607" s="2">
        <v>0</v>
      </c>
      <c r="U607" s="2">
        <v>0</v>
      </c>
      <c r="V607" s="2">
        <v>0</v>
      </c>
      <c r="W607" s="2">
        <v>0</v>
      </c>
      <c r="X607" s="2">
        <v>0</v>
      </c>
      <c r="Y607" s="2">
        <v>0</v>
      </c>
      <c r="Z607" s="2">
        <v>0</v>
      </c>
      <c r="AA607" s="2">
        <v>0</v>
      </c>
      <c r="AB607" s="2">
        <v>0</v>
      </c>
    </row>
    <row r="608" spans="1:28" x14ac:dyDescent="0.2">
      <c r="A608" s="2" t="s">
        <v>1324</v>
      </c>
      <c r="B608" s="2" t="s">
        <v>32</v>
      </c>
      <c r="C608" s="2">
        <v>24</v>
      </c>
      <c r="D608" s="2">
        <v>2</v>
      </c>
      <c r="E608" s="2" t="s">
        <v>163</v>
      </c>
      <c r="F608" s="2" t="s">
        <v>1302</v>
      </c>
      <c r="G608" s="2">
        <v>0</v>
      </c>
      <c r="H608" s="2">
        <v>0</v>
      </c>
      <c r="I608" s="2">
        <v>0</v>
      </c>
      <c r="J608" s="2">
        <v>0</v>
      </c>
      <c r="K608" s="2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s="2">
        <v>0</v>
      </c>
      <c r="W608" s="2">
        <v>0</v>
      </c>
      <c r="X608" s="2">
        <v>0</v>
      </c>
      <c r="Y608" s="2">
        <v>0</v>
      </c>
      <c r="Z608" s="2">
        <v>0</v>
      </c>
      <c r="AA608" s="2">
        <v>0</v>
      </c>
      <c r="AB608" s="2">
        <v>0</v>
      </c>
    </row>
    <row r="609" spans="1:28" x14ac:dyDescent="0.2">
      <c r="A609" s="2" t="s">
        <v>1325</v>
      </c>
      <c r="B609" s="2" t="s">
        <v>32</v>
      </c>
      <c r="C609" s="2">
        <v>23</v>
      </c>
      <c r="D609" s="2">
        <v>0</v>
      </c>
      <c r="E609" s="2" t="s">
        <v>79</v>
      </c>
      <c r="F609" s="2" t="s">
        <v>1302</v>
      </c>
      <c r="G609" s="2">
        <v>0</v>
      </c>
      <c r="H609" s="2">
        <v>0</v>
      </c>
      <c r="I609" s="2">
        <v>0</v>
      </c>
      <c r="J609" s="2">
        <v>0</v>
      </c>
      <c r="K609" s="2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">
        <v>0</v>
      </c>
      <c r="S609" s="2">
        <v>0</v>
      </c>
      <c r="T609" s="2">
        <v>0</v>
      </c>
      <c r="U609" s="2">
        <v>0</v>
      </c>
      <c r="V609" s="2">
        <v>0</v>
      </c>
      <c r="W609" s="2">
        <v>0</v>
      </c>
      <c r="X609" s="2">
        <v>0</v>
      </c>
      <c r="Y609" s="2">
        <v>0</v>
      </c>
      <c r="Z609" s="2">
        <v>0</v>
      </c>
      <c r="AA609" s="2">
        <v>0</v>
      </c>
      <c r="AB609" s="2">
        <v>0</v>
      </c>
    </row>
    <row r="610" spans="1:28" x14ac:dyDescent="0.2">
      <c r="A610" s="2" t="s">
        <v>1326</v>
      </c>
      <c r="B610" s="2" t="s">
        <v>32</v>
      </c>
      <c r="C610" s="2">
        <v>22</v>
      </c>
      <c r="D610" s="2">
        <v>0</v>
      </c>
      <c r="E610" s="2" t="s">
        <v>243</v>
      </c>
      <c r="F610" s="2" t="s">
        <v>1302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0</v>
      </c>
      <c r="S610" s="2">
        <v>0</v>
      </c>
      <c r="T610" s="2">
        <v>0</v>
      </c>
      <c r="U610" s="2">
        <v>0</v>
      </c>
      <c r="V610" s="2">
        <v>0</v>
      </c>
      <c r="W610" s="2">
        <v>0</v>
      </c>
      <c r="X610" s="2">
        <v>0</v>
      </c>
      <c r="Y610" s="2">
        <v>0</v>
      </c>
      <c r="Z610" s="2">
        <v>0</v>
      </c>
      <c r="AA610" s="2">
        <v>0</v>
      </c>
      <c r="AB610" s="2">
        <v>0</v>
      </c>
    </row>
    <row r="611" spans="1:28" x14ac:dyDescent="0.2">
      <c r="A611" s="2" t="s">
        <v>1327</v>
      </c>
      <c r="B611" s="2" t="s">
        <v>32</v>
      </c>
      <c r="C611" s="2">
        <v>22</v>
      </c>
      <c r="D611" s="2">
        <v>0</v>
      </c>
      <c r="E611" s="2" t="s">
        <v>277</v>
      </c>
      <c r="F611" s="2" t="s">
        <v>1302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0</v>
      </c>
      <c r="V611" s="2">
        <v>0</v>
      </c>
      <c r="W611" s="2">
        <v>0</v>
      </c>
      <c r="X611" s="2">
        <v>0</v>
      </c>
      <c r="Y611" s="2">
        <v>0</v>
      </c>
      <c r="Z611" s="2">
        <v>0</v>
      </c>
      <c r="AA611" s="2">
        <v>0</v>
      </c>
      <c r="AB611" s="2">
        <v>0</v>
      </c>
    </row>
    <row r="612" spans="1:28" x14ac:dyDescent="0.2">
      <c r="A612" s="2" t="s">
        <v>1328</v>
      </c>
      <c r="B612" s="2" t="s">
        <v>44</v>
      </c>
      <c r="C612" s="2">
        <v>24</v>
      </c>
      <c r="D612" s="2">
        <v>0</v>
      </c>
      <c r="E612" s="2" t="s">
        <v>237</v>
      </c>
      <c r="F612" s="2" t="s">
        <v>1302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0</v>
      </c>
      <c r="W612" s="2">
        <v>0</v>
      </c>
      <c r="X612" s="2">
        <v>0</v>
      </c>
      <c r="Y612" s="2">
        <v>0</v>
      </c>
      <c r="Z612" s="2">
        <v>0</v>
      </c>
      <c r="AA612" s="2">
        <v>0</v>
      </c>
      <c r="AB612" s="2">
        <v>0</v>
      </c>
    </row>
    <row r="613" spans="1:28" x14ac:dyDescent="0.2">
      <c r="A613" s="2" t="s">
        <v>1329</v>
      </c>
      <c r="B613" s="2" t="s">
        <v>44</v>
      </c>
      <c r="C613" s="2">
        <v>26</v>
      </c>
      <c r="D613" s="2">
        <v>0</v>
      </c>
      <c r="E613" s="2" t="s">
        <v>1330</v>
      </c>
      <c r="F613" s="2" t="s">
        <v>1302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0</v>
      </c>
      <c r="S613" s="2">
        <v>0</v>
      </c>
      <c r="T613" s="2">
        <v>0</v>
      </c>
      <c r="U613" s="2">
        <v>0</v>
      </c>
      <c r="V613" s="2">
        <v>0</v>
      </c>
      <c r="W613" s="2">
        <v>0</v>
      </c>
      <c r="X613" s="2">
        <v>0</v>
      </c>
      <c r="Y613" s="2">
        <v>0</v>
      </c>
      <c r="Z613" s="2">
        <v>0</v>
      </c>
      <c r="AA613" s="2">
        <v>0</v>
      </c>
      <c r="AB613" s="2">
        <v>0</v>
      </c>
    </row>
    <row r="614" spans="1:28" x14ac:dyDescent="0.2">
      <c r="A614" s="2" t="s">
        <v>1331</v>
      </c>
      <c r="B614" s="2" t="s">
        <v>44</v>
      </c>
      <c r="C614" s="2">
        <v>32</v>
      </c>
      <c r="D614" s="2">
        <v>12</v>
      </c>
      <c r="E614" s="2" t="s">
        <v>148</v>
      </c>
      <c r="F614" s="2" t="s">
        <v>1302</v>
      </c>
      <c r="G614" s="2">
        <v>0</v>
      </c>
      <c r="H614" s="2">
        <v>0</v>
      </c>
      <c r="I614" s="2">
        <v>0</v>
      </c>
      <c r="J614" s="2">
        <v>0</v>
      </c>
      <c r="K614" s="2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0</v>
      </c>
      <c r="V614" s="2">
        <v>0</v>
      </c>
      <c r="W614" s="2">
        <v>0</v>
      </c>
      <c r="X614" s="2">
        <v>0</v>
      </c>
      <c r="Y614" s="2">
        <v>0</v>
      </c>
      <c r="Z614" s="2">
        <v>0</v>
      </c>
      <c r="AA614" s="2">
        <v>0</v>
      </c>
      <c r="AB614" s="2">
        <v>0</v>
      </c>
    </row>
    <row r="615" spans="1:28" x14ac:dyDescent="0.2">
      <c r="A615" s="2" t="s">
        <v>1332</v>
      </c>
      <c r="B615" s="2" t="s">
        <v>44</v>
      </c>
      <c r="C615" s="2">
        <v>28</v>
      </c>
      <c r="D615" s="2">
        <v>6</v>
      </c>
      <c r="E615" s="2" t="s">
        <v>358</v>
      </c>
      <c r="F615" s="2" t="s">
        <v>1302</v>
      </c>
      <c r="G615" s="2">
        <v>0</v>
      </c>
      <c r="H615" s="2">
        <v>0</v>
      </c>
      <c r="I615" s="2">
        <v>0</v>
      </c>
      <c r="J615" s="2">
        <v>0</v>
      </c>
      <c r="K615" s="2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0</v>
      </c>
      <c r="V615" s="2">
        <v>0</v>
      </c>
      <c r="W615" s="2">
        <v>0</v>
      </c>
      <c r="X615" s="2">
        <v>0</v>
      </c>
      <c r="Y615" s="2">
        <v>0</v>
      </c>
      <c r="Z615" s="2">
        <v>0</v>
      </c>
      <c r="AA615" s="2">
        <v>0</v>
      </c>
      <c r="AB615" s="2">
        <v>0</v>
      </c>
    </row>
    <row r="616" spans="1:28" x14ac:dyDescent="0.2">
      <c r="A616" s="2" t="s">
        <v>1333</v>
      </c>
      <c r="B616" s="2" t="s">
        <v>44</v>
      </c>
      <c r="C616" s="2">
        <v>22</v>
      </c>
      <c r="D616" s="2">
        <v>0</v>
      </c>
      <c r="E616" s="2" t="s">
        <v>295</v>
      </c>
      <c r="F616" s="2" t="s">
        <v>1302</v>
      </c>
      <c r="G616" s="2">
        <v>0</v>
      </c>
      <c r="H616" s="2">
        <v>0</v>
      </c>
      <c r="I616" s="2">
        <v>0</v>
      </c>
      <c r="J616" s="2">
        <v>0</v>
      </c>
      <c r="K616" s="2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0</v>
      </c>
      <c r="S616" s="2">
        <v>0</v>
      </c>
      <c r="T616" s="2">
        <v>0</v>
      </c>
      <c r="U616" s="2">
        <v>0</v>
      </c>
      <c r="V616" s="2">
        <v>0</v>
      </c>
      <c r="W616" s="2">
        <v>0</v>
      </c>
      <c r="X616" s="2">
        <v>0</v>
      </c>
      <c r="Y616" s="2">
        <v>0</v>
      </c>
      <c r="Z616" s="2">
        <v>0</v>
      </c>
      <c r="AA616" s="2">
        <v>0</v>
      </c>
      <c r="AB616" s="2">
        <v>0</v>
      </c>
    </row>
    <row r="617" spans="1:28" x14ac:dyDescent="0.2">
      <c r="A617" s="2" t="s">
        <v>1334</v>
      </c>
      <c r="B617" s="2" t="s">
        <v>44</v>
      </c>
      <c r="C617" s="2">
        <v>22</v>
      </c>
      <c r="D617" s="2">
        <v>0</v>
      </c>
      <c r="E617" s="2" t="s">
        <v>1335</v>
      </c>
      <c r="F617" s="2" t="s">
        <v>1302</v>
      </c>
      <c r="G617" s="2">
        <v>0</v>
      </c>
      <c r="H617" s="2">
        <v>0</v>
      </c>
      <c r="I617" s="2">
        <v>0</v>
      </c>
      <c r="J617" s="2">
        <v>0</v>
      </c>
      <c r="K617" s="2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0</v>
      </c>
      <c r="S617" s="2">
        <v>0</v>
      </c>
      <c r="T617" s="2">
        <v>0</v>
      </c>
      <c r="U617" s="2">
        <v>0</v>
      </c>
      <c r="V617" s="2">
        <v>0</v>
      </c>
      <c r="W617" s="2">
        <v>0</v>
      </c>
      <c r="X617" s="2">
        <v>0</v>
      </c>
      <c r="Y617" s="2">
        <v>0</v>
      </c>
      <c r="Z617" s="2">
        <v>0</v>
      </c>
      <c r="AA617" s="2">
        <v>0</v>
      </c>
      <c r="AB617" s="2">
        <v>0</v>
      </c>
    </row>
    <row r="618" spans="1:28" x14ac:dyDescent="0.2">
      <c r="A618" s="2" t="s">
        <v>1336</v>
      </c>
      <c r="B618" s="2" t="s">
        <v>44</v>
      </c>
      <c r="C618" s="2">
        <v>25</v>
      </c>
      <c r="D618" s="2">
        <v>5</v>
      </c>
      <c r="E618" s="2" t="s">
        <v>171</v>
      </c>
      <c r="F618" s="2" t="s">
        <v>1302</v>
      </c>
      <c r="G618" s="2">
        <v>0</v>
      </c>
      <c r="H618" s="2">
        <v>0</v>
      </c>
      <c r="I618" s="2">
        <v>0</v>
      </c>
      <c r="J618" s="2">
        <v>0</v>
      </c>
      <c r="K618" s="2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0</v>
      </c>
      <c r="S618" s="2">
        <v>0</v>
      </c>
      <c r="T618" s="2">
        <v>0</v>
      </c>
      <c r="U618" s="2">
        <v>0</v>
      </c>
      <c r="V618" s="2">
        <v>0</v>
      </c>
      <c r="W618" s="2">
        <v>0</v>
      </c>
      <c r="X618" s="2">
        <v>0</v>
      </c>
      <c r="Y618" s="2">
        <v>0</v>
      </c>
      <c r="Z618" s="2">
        <v>0</v>
      </c>
      <c r="AA618" s="2">
        <v>0</v>
      </c>
      <c r="AB618" s="2">
        <v>0</v>
      </c>
    </row>
    <row r="619" spans="1:28" x14ac:dyDescent="0.2">
      <c r="A619" s="2" t="s">
        <v>1337</v>
      </c>
      <c r="B619" s="2" t="s">
        <v>44</v>
      </c>
      <c r="C619" s="2">
        <v>24</v>
      </c>
      <c r="D619" s="2">
        <v>0</v>
      </c>
      <c r="E619" s="2" t="s">
        <v>672</v>
      </c>
      <c r="F619" s="2" t="s">
        <v>1302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0</v>
      </c>
      <c r="S619" s="2">
        <v>0</v>
      </c>
      <c r="T619" s="2">
        <v>0</v>
      </c>
      <c r="U619" s="2">
        <v>0</v>
      </c>
      <c r="V619" s="2">
        <v>0</v>
      </c>
      <c r="W619" s="2">
        <v>0</v>
      </c>
      <c r="X619" s="2">
        <v>0</v>
      </c>
      <c r="Y619" s="2">
        <v>0</v>
      </c>
      <c r="Z619" s="2">
        <v>0</v>
      </c>
      <c r="AA619" s="2">
        <v>0</v>
      </c>
      <c r="AB619" s="2">
        <v>0</v>
      </c>
    </row>
    <row r="620" spans="1:28" x14ac:dyDescent="0.2">
      <c r="A620" s="2" t="s">
        <v>1338</v>
      </c>
      <c r="B620" s="2" t="s">
        <v>44</v>
      </c>
      <c r="C620" s="2">
        <v>27</v>
      </c>
      <c r="D620" s="2">
        <v>4</v>
      </c>
      <c r="E620" s="2" t="s">
        <v>243</v>
      </c>
      <c r="F620" s="2" t="s">
        <v>1302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s="2">
        <v>0</v>
      </c>
      <c r="W620" s="2">
        <v>0</v>
      </c>
      <c r="X620" s="2">
        <v>0</v>
      </c>
      <c r="Y620" s="2">
        <v>0</v>
      </c>
      <c r="Z620" s="2">
        <v>0</v>
      </c>
      <c r="AA620" s="2">
        <v>0</v>
      </c>
      <c r="AB620" s="2">
        <v>0</v>
      </c>
    </row>
    <row r="621" spans="1:28" x14ac:dyDescent="0.2">
      <c r="A621" s="2" t="s">
        <v>1339</v>
      </c>
      <c r="B621" s="2" t="s">
        <v>44</v>
      </c>
      <c r="C621" s="2">
        <v>23</v>
      </c>
      <c r="D621" s="2">
        <v>0</v>
      </c>
      <c r="E621" s="2" t="s">
        <v>1340</v>
      </c>
      <c r="F621" s="2" t="s">
        <v>1302</v>
      </c>
      <c r="G621" s="2">
        <v>0</v>
      </c>
      <c r="H621" s="2">
        <v>0</v>
      </c>
      <c r="I621" s="2">
        <v>0</v>
      </c>
      <c r="J621" s="2">
        <v>0</v>
      </c>
      <c r="K621" s="2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0</v>
      </c>
      <c r="S621" s="2">
        <v>0</v>
      </c>
      <c r="T621" s="2">
        <v>0</v>
      </c>
      <c r="U621" s="2">
        <v>0</v>
      </c>
      <c r="V621" s="2">
        <v>0</v>
      </c>
      <c r="W621" s="2">
        <v>0</v>
      </c>
      <c r="X621" s="2">
        <v>0</v>
      </c>
      <c r="Y621" s="2">
        <v>0</v>
      </c>
      <c r="Z621" s="2">
        <v>0</v>
      </c>
      <c r="AA621" s="2">
        <v>0</v>
      </c>
      <c r="AB621" s="2">
        <v>0</v>
      </c>
    </row>
    <row r="622" spans="1:28" x14ac:dyDescent="0.2">
      <c r="A622" s="2" t="s">
        <v>1341</v>
      </c>
      <c r="B622" s="2" t="s">
        <v>44</v>
      </c>
      <c r="C622" s="2">
        <v>25</v>
      </c>
      <c r="D622" s="2">
        <v>3</v>
      </c>
      <c r="E622" s="2" t="s">
        <v>394</v>
      </c>
      <c r="F622" s="2" t="s">
        <v>1302</v>
      </c>
      <c r="G622" s="2">
        <v>0</v>
      </c>
      <c r="H622" s="2">
        <v>0</v>
      </c>
      <c r="I622" s="2">
        <v>0</v>
      </c>
      <c r="J622" s="2">
        <v>0</v>
      </c>
      <c r="K622" s="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0</v>
      </c>
      <c r="S622" s="2">
        <v>0</v>
      </c>
      <c r="T622" s="2">
        <v>0</v>
      </c>
      <c r="U622" s="2">
        <v>0</v>
      </c>
      <c r="V622" s="2">
        <v>0</v>
      </c>
      <c r="W622" s="2">
        <v>0</v>
      </c>
      <c r="X622" s="2">
        <v>0</v>
      </c>
      <c r="Y622" s="2">
        <v>0</v>
      </c>
      <c r="Z622" s="2">
        <v>0</v>
      </c>
      <c r="AA622" s="2">
        <v>0</v>
      </c>
      <c r="AB622" s="2">
        <v>0</v>
      </c>
    </row>
    <row r="623" spans="1:28" x14ac:dyDescent="0.2">
      <c r="A623" s="2" t="s">
        <v>1342</v>
      </c>
      <c r="B623" s="2" t="s">
        <v>44</v>
      </c>
      <c r="C623" s="2">
        <v>31</v>
      </c>
      <c r="D623" s="2">
        <v>4</v>
      </c>
      <c r="E623" s="2" t="s">
        <v>1343</v>
      </c>
      <c r="F623" s="2" t="s">
        <v>1302</v>
      </c>
      <c r="G623" s="2">
        <v>0</v>
      </c>
      <c r="H623" s="2">
        <v>0</v>
      </c>
      <c r="I623" s="2">
        <v>0</v>
      </c>
      <c r="J623" s="2">
        <v>0</v>
      </c>
      <c r="K623" s="2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0</v>
      </c>
      <c r="S623" s="2">
        <v>0</v>
      </c>
      <c r="T623" s="2">
        <v>0</v>
      </c>
      <c r="U623" s="2">
        <v>0</v>
      </c>
      <c r="V623" s="2">
        <v>0</v>
      </c>
      <c r="W623" s="2">
        <v>0</v>
      </c>
      <c r="X623" s="2">
        <v>0</v>
      </c>
      <c r="Y623" s="2">
        <v>0</v>
      </c>
      <c r="Z623" s="2">
        <v>0</v>
      </c>
      <c r="AA623" s="2">
        <v>0</v>
      </c>
      <c r="AB623" s="2">
        <v>0</v>
      </c>
    </row>
    <row r="624" spans="1:28" x14ac:dyDescent="0.2">
      <c r="A624" s="2" t="s">
        <v>1344</v>
      </c>
      <c r="B624" s="2" t="s">
        <v>44</v>
      </c>
      <c r="C624" s="2">
        <v>27</v>
      </c>
      <c r="D624" s="2">
        <v>3</v>
      </c>
      <c r="E624" s="2" t="s">
        <v>1345</v>
      </c>
      <c r="F624" s="2" t="s">
        <v>1302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0</v>
      </c>
      <c r="S624" s="2">
        <v>0</v>
      </c>
      <c r="T624" s="2">
        <v>0</v>
      </c>
      <c r="U624" s="2">
        <v>0</v>
      </c>
      <c r="V624" s="2">
        <v>0</v>
      </c>
      <c r="W624" s="2">
        <v>0</v>
      </c>
      <c r="X624" s="2">
        <v>0</v>
      </c>
      <c r="Y624" s="2">
        <v>0</v>
      </c>
      <c r="Z624" s="2">
        <v>0</v>
      </c>
      <c r="AA624" s="2">
        <v>0</v>
      </c>
      <c r="AB624" s="2">
        <v>0</v>
      </c>
    </row>
    <row r="625" spans="1:28" x14ac:dyDescent="0.2">
      <c r="A625" s="2" t="s">
        <v>1346</v>
      </c>
      <c r="B625" s="2" t="s">
        <v>44</v>
      </c>
      <c r="C625" s="2">
        <v>22</v>
      </c>
      <c r="D625" s="2">
        <v>0</v>
      </c>
      <c r="E625" s="2" t="s">
        <v>209</v>
      </c>
      <c r="F625" s="2" t="s">
        <v>1302</v>
      </c>
      <c r="G625" s="2">
        <v>0</v>
      </c>
      <c r="H625" s="2">
        <v>0</v>
      </c>
      <c r="I625" s="2">
        <v>0</v>
      </c>
      <c r="J625" s="2">
        <v>0</v>
      </c>
      <c r="K625" s="2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0</v>
      </c>
      <c r="S625" s="2">
        <v>0</v>
      </c>
      <c r="T625" s="2">
        <v>0</v>
      </c>
      <c r="U625" s="2">
        <v>0</v>
      </c>
      <c r="V625" s="2">
        <v>0</v>
      </c>
      <c r="W625" s="2">
        <v>0</v>
      </c>
      <c r="X625" s="2">
        <v>0</v>
      </c>
      <c r="Y625" s="2">
        <v>0</v>
      </c>
      <c r="Z625" s="2">
        <v>0</v>
      </c>
      <c r="AA625" s="2">
        <v>0</v>
      </c>
      <c r="AB625" s="2">
        <v>0</v>
      </c>
    </row>
    <row r="626" spans="1:28" x14ac:dyDescent="0.2">
      <c r="A626" s="2" t="s">
        <v>1347</v>
      </c>
      <c r="B626" s="2" t="s">
        <v>39</v>
      </c>
      <c r="C626" s="2">
        <v>27</v>
      </c>
      <c r="D626" s="2">
        <v>5</v>
      </c>
      <c r="E626" s="2" t="s">
        <v>309</v>
      </c>
      <c r="F626" s="2" t="s">
        <v>1302</v>
      </c>
      <c r="G626" s="2">
        <v>0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0</v>
      </c>
      <c r="V626" s="2">
        <v>0</v>
      </c>
      <c r="W626" s="2">
        <v>0</v>
      </c>
      <c r="X626" s="2">
        <v>0</v>
      </c>
      <c r="Y626" s="2">
        <v>0</v>
      </c>
      <c r="Z626" s="2">
        <v>0</v>
      </c>
      <c r="AA626" s="2">
        <v>0</v>
      </c>
      <c r="AB626" s="2">
        <v>0</v>
      </c>
    </row>
    <row r="627" spans="1:28" x14ac:dyDescent="0.2">
      <c r="A627" s="2" t="s">
        <v>1348</v>
      </c>
      <c r="B627" s="2" t="s">
        <v>39</v>
      </c>
      <c r="C627" s="2">
        <v>24</v>
      </c>
      <c r="D627" s="2">
        <v>0</v>
      </c>
      <c r="E627" s="2" t="s">
        <v>457</v>
      </c>
      <c r="F627" s="2" t="s">
        <v>1302</v>
      </c>
      <c r="G627" s="2">
        <v>0</v>
      </c>
      <c r="H627" s="2">
        <v>0</v>
      </c>
      <c r="I627" s="2">
        <v>0</v>
      </c>
      <c r="J627" s="2">
        <v>0</v>
      </c>
      <c r="K627" s="2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0</v>
      </c>
      <c r="V627" s="2">
        <v>0</v>
      </c>
      <c r="W627" s="2">
        <v>0</v>
      </c>
      <c r="X627" s="2">
        <v>0</v>
      </c>
      <c r="Y627" s="2">
        <v>0</v>
      </c>
      <c r="Z627" s="2">
        <v>0</v>
      </c>
      <c r="AA627" s="2">
        <v>0</v>
      </c>
      <c r="AB627" s="2">
        <v>0</v>
      </c>
    </row>
    <row r="628" spans="1:28" x14ac:dyDescent="0.2">
      <c r="A628" s="2" t="s">
        <v>1349</v>
      </c>
      <c r="B628" s="2" t="s">
        <v>39</v>
      </c>
      <c r="C628" s="2">
        <v>24</v>
      </c>
      <c r="D628" s="2">
        <v>0</v>
      </c>
      <c r="E628" s="2" t="s">
        <v>93</v>
      </c>
      <c r="F628" s="2" t="s">
        <v>1302</v>
      </c>
      <c r="G628" s="2">
        <v>0</v>
      </c>
      <c r="H628" s="2">
        <v>0</v>
      </c>
      <c r="I628" s="2">
        <v>0</v>
      </c>
      <c r="J628" s="2">
        <v>0</v>
      </c>
      <c r="K628" s="2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0</v>
      </c>
      <c r="S628" s="2">
        <v>0</v>
      </c>
      <c r="T628" s="2">
        <v>0</v>
      </c>
      <c r="U628" s="2">
        <v>0</v>
      </c>
      <c r="V628" s="2">
        <v>0</v>
      </c>
      <c r="W628" s="2">
        <v>0</v>
      </c>
      <c r="X628" s="2">
        <v>0</v>
      </c>
      <c r="Y628" s="2">
        <v>0</v>
      </c>
      <c r="Z628" s="2">
        <v>0</v>
      </c>
      <c r="AA628" s="2">
        <v>0</v>
      </c>
      <c r="AB628" s="2">
        <v>0</v>
      </c>
    </row>
    <row r="629" spans="1:28" x14ac:dyDescent="0.2">
      <c r="A629" s="2" t="s">
        <v>1350</v>
      </c>
      <c r="B629" s="2" t="s">
        <v>39</v>
      </c>
      <c r="C629" s="2">
        <v>22</v>
      </c>
      <c r="D629" s="2">
        <v>0</v>
      </c>
      <c r="E629" s="2" t="s">
        <v>209</v>
      </c>
      <c r="F629" s="2" t="s">
        <v>1302</v>
      </c>
      <c r="G629" s="2">
        <v>0</v>
      </c>
      <c r="H629" s="2">
        <v>0</v>
      </c>
      <c r="I629" s="2">
        <v>0</v>
      </c>
      <c r="J629" s="2">
        <v>0</v>
      </c>
      <c r="K629" s="2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0</v>
      </c>
      <c r="V629" s="2">
        <v>0</v>
      </c>
      <c r="W629" s="2">
        <v>0</v>
      </c>
      <c r="X629" s="2">
        <v>0</v>
      </c>
      <c r="Y629" s="2">
        <v>0</v>
      </c>
      <c r="Z629" s="2">
        <v>0</v>
      </c>
      <c r="AA629" s="2">
        <v>0</v>
      </c>
      <c r="AB629" s="2">
        <v>0</v>
      </c>
    </row>
    <row r="630" spans="1:28" x14ac:dyDescent="0.2">
      <c r="A630" s="2" t="s">
        <v>1351</v>
      </c>
      <c r="B630" s="2" t="s">
        <v>39</v>
      </c>
      <c r="C630" s="2">
        <v>30</v>
      </c>
      <c r="D630" s="2">
        <v>8</v>
      </c>
      <c r="E630" s="2" t="s">
        <v>466</v>
      </c>
      <c r="F630" s="2" t="s">
        <v>1302</v>
      </c>
      <c r="G630" s="2">
        <v>0</v>
      </c>
      <c r="H630" s="2">
        <v>0</v>
      </c>
      <c r="I630" s="2">
        <v>0</v>
      </c>
      <c r="J630" s="2">
        <v>0</v>
      </c>
      <c r="K630" s="2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2">
        <v>0</v>
      </c>
      <c r="X630" s="2">
        <v>0</v>
      </c>
      <c r="Y630" s="2">
        <v>0</v>
      </c>
      <c r="Z630" s="2">
        <v>0</v>
      </c>
      <c r="AA630" s="2">
        <v>0</v>
      </c>
      <c r="AB630" s="2">
        <v>0</v>
      </c>
    </row>
    <row r="631" spans="1:28" x14ac:dyDescent="0.2">
      <c r="A631" s="2" t="s">
        <v>1367</v>
      </c>
      <c r="B631" s="2" t="s">
        <v>27</v>
      </c>
      <c r="C631" s="2">
        <v>25</v>
      </c>
      <c r="D631" s="2">
        <v>2</v>
      </c>
      <c r="E631" s="2" t="s">
        <v>363</v>
      </c>
      <c r="F631" s="2" t="s">
        <v>1354</v>
      </c>
      <c r="G631" s="2">
        <v>0</v>
      </c>
      <c r="H631" s="2">
        <v>0</v>
      </c>
      <c r="I631" s="2">
        <v>0</v>
      </c>
      <c r="J631" s="2">
        <v>0</v>
      </c>
      <c r="K631" s="2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0</v>
      </c>
      <c r="V631" s="2">
        <v>0</v>
      </c>
      <c r="W631" s="2">
        <v>0</v>
      </c>
      <c r="X631" s="2">
        <v>0</v>
      </c>
      <c r="Y631" s="2">
        <v>0</v>
      </c>
      <c r="Z631" s="2">
        <v>0</v>
      </c>
      <c r="AA631" s="2">
        <v>0</v>
      </c>
      <c r="AB631" s="2">
        <v>0</v>
      </c>
    </row>
    <row r="632" spans="1:28" x14ac:dyDescent="0.2">
      <c r="A632" s="2" t="s">
        <v>1368</v>
      </c>
      <c r="B632" s="2" t="s">
        <v>27</v>
      </c>
      <c r="C632" s="2">
        <v>24</v>
      </c>
      <c r="D632" s="2">
        <v>3</v>
      </c>
      <c r="E632" s="2" t="s">
        <v>69</v>
      </c>
      <c r="F632" s="2" t="s">
        <v>1354</v>
      </c>
      <c r="G632" s="2">
        <v>0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>
        <v>0</v>
      </c>
      <c r="S632" s="2">
        <v>0</v>
      </c>
      <c r="T632" s="2">
        <v>0</v>
      </c>
      <c r="U632" s="2">
        <v>0</v>
      </c>
      <c r="V632" s="2">
        <v>0</v>
      </c>
      <c r="W632" s="2">
        <v>0</v>
      </c>
      <c r="X632" s="2">
        <v>0</v>
      </c>
      <c r="Y632" s="2">
        <v>0</v>
      </c>
      <c r="Z632" s="2">
        <v>0</v>
      </c>
      <c r="AA632" s="2">
        <v>0</v>
      </c>
      <c r="AB632" s="2">
        <v>0</v>
      </c>
    </row>
    <row r="633" spans="1:28" x14ac:dyDescent="0.2">
      <c r="A633" s="2" t="s">
        <v>1369</v>
      </c>
      <c r="B633" s="2" t="s">
        <v>27</v>
      </c>
      <c r="C633" s="2">
        <v>29</v>
      </c>
      <c r="D633" s="2">
        <v>8</v>
      </c>
      <c r="E633" s="2" t="s">
        <v>201</v>
      </c>
      <c r="F633" s="2" t="s">
        <v>1354</v>
      </c>
      <c r="G633" s="2">
        <v>0</v>
      </c>
      <c r="H633" s="2">
        <v>0</v>
      </c>
      <c r="I633" s="2">
        <v>0</v>
      </c>
      <c r="J633" s="2">
        <v>0</v>
      </c>
      <c r="K633" s="2">
        <v>0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2">
        <v>0</v>
      </c>
      <c r="X633" s="2">
        <v>0</v>
      </c>
      <c r="Y633" s="2">
        <v>0</v>
      </c>
      <c r="Z633" s="2">
        <v>0</v>
      </c>
      <c r="AA633" s="2">
        <v>0</v>
      </c>
      <c r="AB633" s="2">
        <v>0</v>
      </c>
    </row>
    <row r="634" spans="1:28" x14ac:dyDescent="0.2">
      <c r="A634" s="2" t="s">
        <v>1370</v>
      </c>
      <c r="B634" s="2" t="s">
        <v>27</v>
      </c>
      <c r="C634" s="2">
        <v>23</v>
      </c>
      <c r="D634" s="2">
        <v>0</v>
      </c>
      <c r="E634" s="2" t="s">
        <v>97</v>
      </c>
      <c r="F634" s="2" t="s">
        <v>1354</v>
      </c>
      <c r="G634" s="2">
        <v>0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2">
        <v>0</v>
      </c>
      <c r="X634" s="2">
        <v>0</v>
      </c>
      <c r="Y634" s="2">
        <v>0</v>
      </c>
      <c r="Z634" s="2">
        <v>0</v>
      </c>
      <c r="AA634" s="2">
        <v>0</v>
      </c>
      <c r="AB634" s="2">
        <v>0</v>
      </c>
    </row>
    <row r="635" spans="1:28" x14ac:dyDescent="0.2">
      <c r="A635" s="2" t="s">
        <v>1371</v>
      </c>
      <c r="B635" s="2" t="s">
        <v>32</v>
      </c>
      <c r="C635" s="2">
        <v>24</v>
      </c>
      <c r="D635" s="2">
        <v>0</v>
      </c>
      <c r="E635" s="2" t="s">
        <v>69</v>
      </c>
      <c r="F635" s="2" t="s">
        <v>1354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0</v>
      </c>
      <c r="V635" s="2">
        <v>0</v>
      </c>
      <c r="W635" s="2">
        <v>0</v>
      </c>
      <c r="X635" s="2">
        <v>0</v>
      </c>
      <c r="Y635" s="2">
        <v>0</v>
      </c>
      <c r="Z635" s="2">
        <v>0</v>
      </c>
      <c r="AA635" s="2">
        <v>0</v>
      </c>
      <c r="AB635" s="2">
        <v>0</v>
      </c>
    </row>
    <row r="636" spans="1:28" x14ac:dyDescent="0.2">
      <c r="A636" s="2" t="s">
        <v>1372</v>
      </c>
      <c r="B636" s="2" t="s">
        <v>32</v>
      </c>
      <c r="C636" s="2">
        <v>24</v>
      </c>
      <c r="D636" s="2">
        <v>2</v>
      </c>
      <c r="E636" s="2" t="s">
        <v>558</v>
      </c>
      <c r="F636" s="2" t="s">
        <v>1354</v>
      </c>
      <c r="G636" s="2">
        <v>0</v>
      </c>
      <c r="H636" s="2">
        <v>0</v>
      </c>
      <c r="I636" s="2">
        <v>0</v>
      </c>
      <c r="J636" s="2">
        <v>0</v>
      </c>
      <c r="K636" s="2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0</v>
      </c>
      <c r="V636" s="2">
        <v>0</v>
      </c>
      <c r="W636" s="2">
        <v>0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</row>
    <row r="637" spans="1:28" x14ac:dyDescent="0.2">
      <c r="A637" s="2" t="s">
        <v>1373</v>
      </c>
      <c r="B637" s="2" t="s">
        <v>32</v>
      </c>
      <c r="C637" s="2">
        <v>27</v>
      </c>
      <c r="D637" s="2">
        <v>5</v>
      </c>
      <c r="E637" s="2" t="s">
        <v>666</v>
      </c>
      <c r="F637" s="2" t="s">
        <v>1354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0</v>
      </c>
      <c r="V637" s="2">
        <v>0</v>
      </c>
      <c r="W637" s="2">
        <v>0</v>
      </c>
      <c r="X637" s="2">
        <v>0</v>
      </c>
      <c r="Y637" s="2">
        <v>0</v>
      </c>
      <c r="Z637" s="2">
        <v>0</v>
      </c>
      <c r="AA637" s="2">
        <v>0</v>
      </c>
      <c r="AB637" s="2">
        <v>0</v>
      </c>
    </row>
    <row r="638" spans="1:28" x14ac:dyDescent="0.2">
      <c r="A638" s="2" t="s">
        <v>1374</v>
      </c>
      <c r="B638" s="2" t="s">
        <v>32</v>
      </c>
      <c r="C638" s="2">
        <v>28</v>
      </c>
      <c r="D638" s="2">
        <v>4</v>
      </c>
      <c r="E638" s="2" t="s">
        <v>65</v>
      </c>
      <c r="F638" s="2" t="s">
        <v>1354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2">
        <v>0</v>
      </c>
      <c r="X638" s="2">
        <v>0</v>
      </c>
      <c r="Y638" s="2">
        <v>0</v>
      </c>
      <c r="Z638" s="2">
        <v>0</v>
      </c>
      <c r="AA638" s="2">
        <v>0</v>
      </c>
      <c r="AB638" s="2">
        <v>0</v>
      </c>
    </row>
    <row r="639" spans="1:28" x14ac:dyDescent="0.2">
      <c r="A639" s="2" t="s">
        <v>1375</v>
      </c>
      <c r="B639" s="2" t="s">
        <v>32</v>
      </c>
      <c r="C639" s="2">
        <v>24</v>
      </c>
      <c r="D639" s="2">
        <v>2</v>
      </c>
      <c r="E639" s="2" t="s">
        <v>209</v>
      </c>
      <c r="F639" s="2" t="s">
        <v>1354</v>
      </c>
      <c r="G639" s="2">
        <v>0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2">
        <v>0</v>
      </c>
      <c r="X639" s="2">
        <v>0</v>
      </c>
      <c r="Y639" s="2">
        <v>0</v>
      </c>
      <c r="Z639" s="2">
        <v>0</v>
      </c>
      <c r="AA639" s="2">
        <v>0</v>
      </c>
      <c r="AB639" s="2">
        <v>0</v>
      </c>
    </row>
    <row r="640" spans="1:28" x14ac:dyDescent="0.2">
      <c r="A640" s="2" t="s">
        <v>1376</v>
      </c>
      <c r="B640" s="2" t="s">
        <v>32</v>
      </c>
      <c r="C640" s="2">
        <v>24</v>
      </c>
      <c r="D640" s="2">
        <v>3</v>
      </c>
      <c r="E640" s="2" t="s">
        <v>171</v>
      </c>
      <c r="F640" s="2" t="s">
        <v>1354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0</v>
      </c>
      <c r="S640" s="2">
        <v>0</v>
      </c>
      <c r="T640" s="2">
        <v>0</v>
      </c>
      <c r="U640" s="2">
        <v>0</v>
      </c>
      <c r="V640" s="2">
        <v>0</v>
      </c>
      <c r="W640" s="2">
        <v>0</v>
      </c>
      <c r="X640" s="2">
        <v>0</v>
      </c>
      <c r="Y640" s="2">
        <v>0</v>
      </c>
      <c r="Z640" s="2">
        <v>0</v>
      </c>
      <c r="AA640" s="2">
        <v>0</v>
      </c>
      <c r="AB640" s="2">
        <v>0</v>
      </c>
    </row>
    <row r="641" spans="1:28" x14ac:dyDescent="0.2">
      <c r="A641" s="2" t="s">
        <v>1377</v>
      </c>
      <c r="B641" s="2" t="s">
        <v>44</v>
      </c>
      <c r="C641" s="2">
        <v>28</v>
      </c>
      <c r="D641" s="2">
        <v>0</v>
      </c>
      <c r="E641" s="2" t="s">
        <v>201</v>
      </c>
      <c r="F641" s="2" t="s">
        <v>1354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0</v>
      </c>
      <c r="V641" s="2">
        <v>0</v>
      </c>
      <c r="W641" s="2">
        <v>0</v>
      </c>
      <c r="X641" s="2">
        <v>0</v>
      </c>
      <c r="Y641" s="2">
        <v>0</v>
      </c>
      <c r="Z641" s="2">
        <v>0</v>
      </c>
      <c r="AA641" s="2">
        <v>0</v>
      </c>
      <c r="AB641" s="2">
        <v>0</v>
      </c>
    </row>
    <row r="642" spans="1:28" x14ac:dyDescent="0.2">
      <c r="A642" s="2" t="s">
        <v>1378</v>
      </c>
      <c r="B642" s="2" t="s">
        <v>44</v>
      </c>
      <c r="C642" s="2">
        <v>26</v>
      </c>
      <c r="D642" s="2">
        <v>4</v>
      </c>
      <c r="E642" s="2" t="s">
        <v>239</v>
      </c>
      <c r="F642" s="2" t="s">
        <v>1354</v>
      </c>
      <c r="G642" s="2">
        <v>0</v>
      </c>
      <c r="H642" s="2">
        <v>0</v>
      </c>
      <c r="I642" s="2">
        <v>0</v>
      </c>
      <c r="J642" s="2">
        <v>0</v>
      </c>
      <c r="K642" s="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0</v>
      </c>
      <c r="S642" s="2">
        <v>0</v>
      </c>
      <c r="T642" s="2">
        <v>0</v>
      </c>
      <c r="U642" s="2">
        <v>0</v>
      </c>
      <c r="V642" s="2">
        <v>0</v>
      </c>
      <c r="W642" s="2">
        <v>0</v>
      </c>
      <c r="X642" s="2">
        <v>0</v>
      </c>
      <c r="Y642" s="2">
        <v>0</v>
      </c>
      <c r="Z642" s="2">
        <v>0</v>
      </c>
      <c r="AA642" s="2">
        <v>0</v>
      </c>
      <c r="AB642" s="2">
        <v>0</v>
      </c>
    </row>
    <row r="643" spans="1:28" x14ac:dyDescent="0.2">
      <c r="A643" s="2" t="s">
        <v>1379</v>
      </c>
      <c r="B643" s="2" t="s">
        <v>44</v>
      </c>
      <c r="C643" s="2">
        <v>25</v>
      </c>
      <c r="D643" s="2">
        <v>3</v>
      </c>
      <c r="E643" s="2" t="s">
        <v>176</v>
      </c>
      <c r="F643" s="2" t="s">
        <v>1354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0</v>
      </c>
      <c r="V643" s="2">
        <v>0</v>
      </c>
      <c r="W643" s="2">
        <v>0</v>
      </c>
      <c r="X643" s="2">
        <v>0</v>
      </c>
      <c r="Y643" s="2">
        <v>0</v>
      </c>
      <c r="Z643" s="2">
        <v>0</v>
      </c>
      <c r="AA643" s="2">
        <v>0</v>
      </c>
      <c r="AB643" s="2">
        <v>0</v>
      </c>
    </row>
    <row r="644" spans="1:28" x14ac:dyDescent="0.2">
      <c r="A644" s="2" t="s">
        <v>1380</v>
      </c>
      <c r="B644" s="2" t="s">
        <v>44</v>
      </c>
      <c r="C644" s="2">
        <v>26</v>
      </c>
      <c r="D644" s="2">
        <v>0</v>
      </c>
      <c r="E644" s="2" t="s">
        <v>203</v>
      </c>
      <c r="F644" s="2" t="s">
        <v>1354</v>
      </c>
      <c r="G644" s="2">
        <v>0</v>
      </c>
      <c r="H644" s="2">
        <v>0</v>
      </c>
      <c r="I644" s="2">
        <v>0</v>
      </c>
      <c r="J644" s="2">
        <v>0</v>
      </c>
      <c r="K644" s="2">
        <v>0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">
        <v>0</v>
      </c>
      <c r="S644" s="2">
        <v>0</v>
      </c>
      <c r="T644" s="2">
        <v>0</v>
      </c>
      <c r="U644" s="2">
        <v>0</v>
      </c>
      <c r="V644" s="2">
        <v>0</v>
      </c>
      <c r="W644" s="2">
        <v>0</v>
      </c>
      <c r="X644" s="2">
        <v>0</v>
      </c>
      <c r="Y644" s="2">
        <v>0</v>
      </c>
      <c r="Z644" s="2">
        <v>0</v>
      </c>
      <c r="AA644" s="2">
        <v>0</v>
      </c>
      <c r="AB644" s="2">
        <v>0</v>
      </c>
    </row>
    <row r="645" spans="1:28" x14ac:dyDescent="0.2">
      <c r="A645" s="2" t="s">
        <v>1381</v>
      </c>
      <c r="B645" s="2" t="s">
        <v>44</v>
      </c>
      <c r="C645" s="2">
        <v>22</v>
      </c>
      <c r="D645" s="2">
        <v>0</v>
      </c>
      <c r="E645" s="2" t="s">
        <v>173</v>
      </c>
      <c r="F645" s="2" t="s">
        <v>1354</v>
      </c>
      <c r="G645" s="2">
        <v>0</v>
      </c>
      <c r="H645" s="2">
        <v>0</v>
      </c>
      <c r="I645" s="2">
        <v>0</v>
      </c>
      <c r="J645" s="2">
        <v>0</v>
      </c>
      <c r="K645" s="2">
        <v>0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0</v>
      </c>
      <c r="V645" s="2">
        <v>0</v>
      </c>
      <c r="W645" s="2">
        <v>0</v>
      </c>
      <c r="X645" s="2">
        <v>0</v>
      </c>
      <c r="Y645" s="2">
        <v>0</v>
      </c>
      <c r="Z645" s="2">
        <v>0</v>
      </c>
      <c r="AA645" s="2">
        <v>0</v>
      </c>
      <c r="AB645" s="2">
        <v>0</v>
      </c>
    </row>
    <row r="646" spans="1:28" x14ac:dyDescent="0.2">
      <c r="A646" s="2" t="s">
        <v>1382</v>
      </c>
      <c r="B646" s="2" t="s">
        <v>44</v>
      </c>
      <c r="C646" s="2">
        <v>22</v>
      </c>
      <c r="D646" s="2">
        <v>0</v>
      </c>
      <c r="E646" s="2" t="s">
        <v>460</v>
      </c>
      <c r="F646" s="2" t="s">
        <v>1354</v>
      </c>
      <c r="G646" s="2">
        <v>0</v>
      </c>
      <c r="H646" s="2">
        <v>0</v>
      </c>
      <c r="I646" s="2">
        <v>0</v>
      </c>
      <c r="J646" s="2">
        <v>0</v>
      </c>
      <c r="K646" s="2">
        <v>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0</v>
      </c>
      <c r="V646" s="2">
        <v>0</v>
      </c>
      <c r="W646" s="2">
        <v>0</v>
      </c>
      <c r="X646" s="2">
        <v>0</v>
      </c>
      <c r="Y646" s="2">
        <v>0</v>
      </c>
      <c r="Z646" s="2">
        <v>0</v>
      </c>
      <c r="AA646" s="2">
        <v>0</v>
      </c>
      <c r="AB646" s="2">
        <v>0</v>
      </c>
    </row>
    <row r="647" spans="1:28" x14ac:dyDescent="0.2">
      <c r="A647" s="2" t="s">
        <v>1383</v>
      </c>
      <c r="B647" s="2" t="s">
        <v>44</v>
      </c>
      <c r="C647" s="2">
        <v>23</v>
      </c>
      <c r="D647" s="2">
        <v>1</v>
      </c>
      <c r="E647" s="2" t="s">
        <v>398</v>
      </c>
      <c r="F647" s="2" t="s">
        <v>1354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0</v>
      </c>
      <c r="V647" s="2">
        <v>0</v>
      </c>
      <c r="W647" s="2">
        <v>0</v>
      </c>
      <c r="X647" s="2">
        <v>0</v>
      </c>
      <c r="Y647" s="2">
        <v>0</v>
      </c>
      <c r="Z647" s="2">
        <v>0</v>
      </c>
      <c r="AA647" s="2">
        <v>0</v>
      </c>
      <c r="AB647" s="2">
        <v>0</v>
      </c>
    </row>
    <row r="648" spans="1:28" x14ac:dyDescent="0.2">
      <c r="A648" s="2" t="s">
        <v>1384</v>
      </c>
      <c r="B648" s="2" t="s">
        <v>44</v>
      </c>
      <c r="C648" s="2">
        <v>24</v>
      </c>
      <c r="D648" s="2">
        <v>2</v>
      </c>
      <c r="E648" s="2" t="s">
        <v>153</v>
      </c>
      <c r="F648" s="2" t="s">
        <v>1354</v>
      </c>
      <c r="G648" s="2">
        <v>0</v>
      </c>
      <c r="H648" s="2">
        <v>0</v>
      </c>
      <c r="I648" s="2">
        <v>0</v>
      </c>
      <c r="J648" s="2">
        <v>0</v>
      </c>
      <c r="K648" s="2">
        <v>0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0</v>
      </c>
      <c r="V648" s="2">
        <v>0</v>
      </c>
      <c r="W648" s="2">
        <v>0</v>
      </c>
      <c r="X648" s="2">
        <v>0</v>
      </c>
      <c r="Y648" s="2">
        <v>0</v>
      </c>
      <c r="Z648" s="2">
        <v>0</v>
      </c>
      <c r="AA648" s="2">
        <v>0</v>
      </c>
      <c r="AB648" s="2">
        <v>0</v>
      </c>
    </row>
    <row r="649" spans="1:28" x14ac:dyDescent="0.2">
      <c r="A649" s="2" t="s">
        <v>1385</v>
      </c>
      <c r="B649" s="2" t="s">
        <v>44</v>
      </c>
      <c r="C649" s="2">
        <v>28</v>
      </c>
      <c r="D649" s="2">
        <v>4</v>
      </c>
      <c r="E649" s="2" t="s">
        <v>71</v>
      </c>
      <c r="F649" s="2" t="s">
        <v>1354</v>
      </c>
      <c r="G649" s="2">
        <v>0</v>
      </c>
      <c r="H649" s="2">
        <v>0</v>
      </c>
      <c r="I649" s="2">
        <v>0</v>
      </c>
      <c r="J649" s="2">
        <v>0</v>
      </c>
      <c r="K649" s="2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0</v>
      </c>
      <c r="S649" s="2">
        <v>0</v>
      </c>
      <c r="T649" s="2">
        <v>0</v>
      </c>
      <c r="U649" s="2">
        <v>0</v>
      </c>
      <c r="V649" s="2">
        <v>0</v>
      </c>
      <c r="W649" s="2">
        <v>0</v>
      </c>
      <c r="X649" s="2">
        <v>0</v>
      </c>
      <c r="Y649" s="2">
        <v>0</v>
      </c>
      <c r="Z649" s="2">
        <v>0</v>
      </c>
      <c r="AA649" s="2">
        <v>0</v>
      </c>
      <c r="AB649" s="2">
        <v>0</v>
      </c>
    </row>
    <row r="650" spans="1:28" x14ac:dyDescent="0.2">
      <c r="A650" s="2" t="s">
        <v>1386</v>
      </c>
      <c r="B650" s="2" t="s">
        <v>44</v>
      </c>
      <c r="C650" s="2">
        <v>25</v>
      </c>
      <c r="D650" s="2">
        <v>3</v>
      </c>
      <c r="E650" s="2" t="s">
        <v>237</v>
      </c>
      <c r="F650" s="2" t="s">
        <v>1354</v>
      </c>
      <c r="G650" s="2">
        <v>0</v>
      </c>
      <c r="H650" s="2">
        <v>0</v>
      </c>
      <c r="I650" s="2">
        <v>0</v>
      </c>
      <c r="J650" s="2">
        <v>0</v>
      </c>
      <c r="K650" s="2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0</v>
      </c>
      <c r="S650" s="2">
        <v>0</v>
      </c>
      <c r="T650" s="2">
        <v>0</v>
      </c>
      <c r="U650" s="2">
        <v>0</v>
      </c>
      <c r="V650" s="2">
        <v>0</v>
      </c>
      <c r="W650" s="2">
        <v>0</v>
      </c>
      <c r="X650" s="2">
        <v>0</v>
      </c>
      <c r="Y650" s="2">
        <v>0</v>
      </c>
      <c r="Z650" s="2">
        <v>0</v>
      </c>
      <c r="AA650" s="2">
        <v>0</v>
      </c>
      <c r="AB650" s="2">
        <v>0</v>
      </c>
    </row>
    <row r="651" spans="1:28" x14ac:dyDescent="0.2">
      <c r="A651" s="2" t="s">
        <v>1387</v>
      </c>
      <c r="B651" s="2" t="s">
        <v>44</v>
      </c>
      <c r="C651" s="2">
        <v>25</v>
      </c>
      <c r="D651" s="2">
        <v>4</v>
      </c>
      <c r="E651" s="2" t="s">
        <v>412</v>
      </c>
      <c r="F651" s="2" t="s">
        <v>1354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2">
        <v>0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</row>
    <row r="652" spans="1:28" x14ac:dyDescent="0.2">
      <c r="A652" s="2" t="s">
        <v>1388</v>
      </c>
      <c r="B652" s="2" t="s">
        <v>39</v>
      </c>
      <c r="C652" s="2">
        <v>28</v>
      </c>
      <c r="D652" s="2">
        <v>6</v>
      </c>
      <c r="E652" s="2" t="s">
        <v>1389</v>
      </c>
      <c r="F652" s="2" t="s">
        <v>1354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2">
        <v>0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</row>
    <row r="653" spans="1:28" x14ac:dyDescent="0.2">
      <c r="A653" s="2" t="s">
        <v>1390</v>
      </c>
      <c r="B653" s="2" t="s">
        <v>39</v>
      </c>
      <c r="C653" s="2">
        <v>24</v>
      </c>
      <c r="D653" s="2">
        <v>0</v>
      </c>
      <c r="E653" s="2" t="s">
        <v>234</v>
      </c>
      <c r="F653" s="2" t="s">
        <v>1354</v>
      </c>
      <c r="G653" s="2">
        <v>0</v>
      </c>
      <c r="H653" s="2">
        <v>0</v>
      </c>
      <c r="I653" s="2">
        <v>0</v>
      </c>
      <c r="J653" s="2">
        <v>0</v>
      </c>
      <c r="K653" s="2">
        <v>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0</v>
      </c>
      <c r="S653" s="2">
        <v>0</v>
      </c>
      <c r="T653" s="2">
        <v>0</v>
      </c>
      <c r="U653" s="2">
        <v>0</v>
      </c>
      <c r="V653" s="2">
        <v>0</v>
      </c>
      <c r="W653" s="2">
        <v>0</v>
      </c>
      <c r="X653" s="2">
        <v>0</v>
      </c>
      <c r="Y653" s="2">
        <v>0</v>
      </c>
      <c r="Z653" s="2">
        <v>0</v>
      </c>
      <c r="AA653" s="2">
        <v>0</v>
      </c>
      <c r="AB653" s="2">
        <v>0</v>
      </c>
    </row>
    <row r="654" spans="1:28" x14ac:dyDescent="0.2">
      <c r="A654" s="2" t="s">
        <v>1391</v>
      </c>
      <c r="B654" s="2" t="s">
        <v>39</v>
      </c>
      <c r="C654" s="2">
        <v>28</v>
      </c>
      <c r="D654" s="2">
        <v>5</v>
      </c>
      <c r="E654" s="2" t="s">
        <v>742</v>
      </c>
      <c r="F654" s="2" t="s">
        <v>1354</v>
      </c>
      <c r="G654" s="2">
        <v>0</v>
      </c>
      <c r="H654" s="2">
        <v>0</v>
      </c>
      <c r="I654" s="2">
        <v>0</v>
      </c>
      <c r="J654" s="2">
        <v>0</v>
      </c>
      <c r="K654" s="2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0</v>
      </c>
      <c r="S654" s="2">
        <v>0</v>
      </c>
      <c r="T654" s="2">
        <v>0</v>
      </c>
      <c r="U654" s="2">
        <v>0</v>
      </c>
      <c r="V654" s="2">
        <v>0</v>
      </c>
      <c r="W654" s="2">
        <v>0</v>
      </c>
      <c r="X654" s="2">
        <v>0</v>
      </c>
      <c r="Y654" s="2">
        <v>0</v>
      </c>
      <c r="Z654" s="2">
        <v>0</v>
      </c>
      <c r="AA654" s="2">
        <v>0</v>
      </c>
      <c r="AB654" s="2">
        <v>0</v>
      </c>
    </row>
    <row r="655" spans="1:28" x14ac:dyDescent="0.2">
      <c r="A655" s="2" t="s">
        <v>1392</v>
      </c>
      <c r="B655" s="2" t="s">
        <v>39</v>
      </c>
      <c r="C655" s="2">
        <v>25</v>
      </c>
      <c r="D655" s="2">
        <v>2</v>
      </c>
      <c r="E655" s="2" t="s">
        <v>794</v>
      </c>
      <c r="F655" s="2" t="s">
        <v>1354</v>
      </c>
      <c r="G655" s="2">
        <v>0</v>
      </c>
      <c r="H655" s="2">
        <v>0</v>
      </c>
      <c r="I655" s="2">
        <v>0</v>
      </c>
      <c r="J655" s="2">
        <v>0</v>
      </c>
      <c r="K655" s="2">
        <v>0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0</v>
      </c>
      <c r="S655" s="2">
        <v>0</v>
      </c>
      <c r="T655" s="2">
        <v>0</v>
      </c>
      <c r="U655" s="2">
        <v>0</v>
      </c>
      <c r="V655" s="2">
        <v>0</v>
      </c>
      <c r="W655" s="2">
        <v>0</v>
      </c>
      <c r="X655" s="2">
        <v>0</v>
      </c>
      <c r="Y655" s="2">
        <v>0</v>
      </c>
      <c r="Z655" s="2">
        <v>0</v>
      </c>
      <c r="AA655" s="2">
        <v>0</v>
      </c>
      <c r="AB655" s="2">
        <v>0</v>
      </c>
    </row>
    <row r="656" spans="1:28" x14ac:dyDescent="0.2">
      <c r="A656" s="2" t="s">
        <v>1393</v>
      </c>
      <c r="B656" s="2" t="s">
        <v>39</v>
      </c>
      <c r="C656" s="2">
        <v>24</v>
      </c>
      <c r="D656" s="2">
        <v>3</v>
      </c>
      <c r="E656" s="2" t="s">
        <v>332</v>
      </c>
      <c r="F656" s="2" t="s">
        <v>1354</v>
      </c>
      <c r="G656" s="2">
        <v>0</v>
      </c>
      <c r="H656" s="2">
        <v>0</v>
      </c>
      <c r="I656" s="2">
        <v>0</v>
      </c>
      <c r="J656" s="2">
        <v>0</v>
      </c>
      <c r="K656" s="2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s="2">
        <v>0</v>
      </c>
      <c r="W656" s="2">
        <v>0</v>
      </c>
      <c r="X656" s="2">
        <v>0</v>
      </c>
      <c r="Y656" s="2">
        <v>0</v>
      </c>
      <c r="Z656" s="2">
        <v>0</v>
      </c>
      <c r="AA656" s="2">
        <v>0</v>
      </c>
      <c r="AB656" s="2">
        <v>0</v>
      </c>
    </row>
    <row r="657" spans="1:28" x14ac:dyDescent="0.2">
      <c r="A657" s="2" t="s">
        <v>1394</v>
      </c>
      <c r="B657" s="2" t="s">
        <v>39</v>
      </c>
      <c r="C657" s="2">
        <v>24</v>
      </c>
      <c r="D657" s="2">
        <v>0</v>
      </c>
      <c r="E657" s="2" t="s">
        <v>83</v>
      </c>
      <c r="F657" s="2" t="s">
        <v>1354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0</v>
      </c>
      <c r="V657" s="2">
        <v>0</v>
      </c>
      <c r="W657" s="2">
        <v>0</v>
      </c>
      <c r="X657" s="2">
        <v>0</v>
      </c>
      <c r="Y657" s="2">
        <v>0</v>
      </c>
      <c r="Z657" s="2">
        <v>0</v>
      </c>
      <c r="AA657" s="2">
        <v>0</v>
      </c>
      <c r="AB657" s="2">
        <v>0</v>
      </c>
    </row>
    <row r="658" spans="1:28" x14ac:dyDescent="0.2">
      <c r="A658" s="2" t="s">
        <v>1412</v>
      </c>
      <c r="B658" s="2" t="s">
        <v>27</v>
      </c>
      <c r="C658" s="2">
        <v>24</v>
      </c>
      <c r="D658" s="2">
        <v>0</v>
      </c>
      <c r="E658" s="2" t="s">
        <v>220</v>
      </c>
      <c r="F658" s="2" t="s">
        <v>1397</v>
      </c>
      <c r="G658" s="2">
        <v>0</v>
      </c>
      <c r="H658" s="2">
        <v>0</v>
      </c>
      <c r="I658" s="2">
        <v>0</v>
      </c>
      <c r="J658" s="2">
        <v>0</v>
      </c>
      <c r="K658" s="2">
        <v>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0</v>
      </c>
      <c r="V658" s="2">
        <v>0</v>
      </c>
      <c r="W658" s="2">
        <v>0</v>
      </c>
      <c r="X658" s="2">
        <v>0</v>
      </c>
      <c r="Y658" s="2">
        <v>0</v>
      </c>
      <c r="Z658" s="2">
        <v>0</v>
      </c>
      <c r="AA658" s="2">
        <v>0</v>
      </c>
      <c r="AB658" s="2">
        <v>0</v>
      </c>
    </row>
    <row r="659" spans="1:28" x14ac:dyDescent="0.2">
      <c r="A659" s="2" t="s">
        <v>1413</v>
      </c>
      <c r="B659" s="2" t="s">
        <v>27</v>
      </c>
      <c r="C659" s="2">
        <v>25</v>
      </c>
      <c r="D659" s="2">
        <v>0</v>
      </c>
      <c r="E659" s="2" t="s">
        <v>75</v>
      </c>
      <c r="F659" s="2" t="s">
        <v>1397</v>
      </c>
      <c r="G659" s="2">
        <v>0</v>
      </c>
      <c r="H659" s="2">
        <v>0</v>
      </c>
      <c r="I659" s="2">
        <v>0</v>
      </c>
      <c r="J659" s="2">
        <v>0</v>
      </c>
      <c r="K659" s="2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2">
        <v>0</v>
      </c>
      <c r="X659" s="2">
        <v>0</v>
      </c>
      <c r="Y659" s="2">
        <v>0</v>
      </c>
      <c r="Z659" s="2">
        <v>0</v>
      </c>
      <c r="AA659" s="2">
        <v>0</v>
      </c>
      <c r="AB659" s="2">
        <v>0</v>
      </c>
    </row>
    <row r="660" spans="1:28" x14ac:dyDescent="0.2">
      <c r="A660" s="2" t="s">
        <v>1414</v>
      </c>
      <c r="B660" s="2" t="s">
        <v>27</v>
      </c>
      <c r="C660" s="2">
        <v>27</v>
      </c>
      <c r="D660" s="2">
        <v>5</v>
      </c>
      <c r="E660" s="2" t="s">
        <v>213</v>
      </c>
      <c r="F660" s="2" t="s">
        <v>1397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">
        <v>0</v>
      </c>
      <c r="S660" s="2">
        <v>0</v>
      </c>
      <c r="T660" s="2">
        <v>0</v>
      </c>
      <c r="U660" s="2">
        <v>0</v>
      </c>
      <c r="V660" s="2">
        <v>0</v>
      </c>
      <c r="W660" s="2">
        <v>0</v>
      </c>
      <c r="X660" s="2">
        <v>0</v>
      </c>
      <c r="Y660" s="2">
        <v>0</v>
      </c>
      <c r="Z660" s="2">
        <v>0</v>
      </c>
      <c r="AA660" s="2">
        <v>0</v>
      </c>
      <c r="AB660" s="2">
        <v>0</v>
      </c>
    </row>
    <row r="661" spans="1:28" x14ac:dyDescent="0.2">
      <c r="A661" s="2" t="s">
        <v>1415</v>
      </c>
      <c r="B661" s="2" t="s">
        <v>27</v>
      </c>
      <c r="C661" s="2">
        <v>28</v>
      </c>
      <c r="D661" s="2">
        <v>6</v>
      </c>
      <c r="E661" s="2" t="s">
        <v>163</v>
      </c>
      <c r="F661" s="2" t="s">
        <v>1397</v>
      </c>
      <c r="G661" s="2">
        <v>0</v>
      </c>
      <c r="H661" s="2">
        <v>0</v>
      </c>
      <c r="I661" s="2">
        <v>0</v>
      </c>
      <c r="J661" s="2">
        <v>0</v>
      </c>
      <c r="K661" s="2">
        <v>0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0</v>
      </c>
      <c r="S661" s="2">
        <v>0</v>
      </c>
      <c r="T661" s="2">
        <v>0</v>
      </c>
      <c r="U661" s="2">
        <v>0</v>
      </c>
      <c r="V661" s="2">
        <v>0</v>
      </c>
      <c r="W661" s="2">
        <v>0</v>
      </c>
      <c r="X661" s="2">
        <v>0</v>
      </c>
      <c r="Y661" s="2">
        <v>0</v>
      </c>
      <c r="Z661" s="2">
        <v>0</v>
      </c>
      <c r="AA661" s="2">
        <v>0</v>
      </c>
      <c r="AB661" s="2">
        <v>0</v>
      </c>
    </row>
    <row r="662" spans="1:28" x14ac:dyDescent="0.2">
      <c r="A662" s="2" t="s">
        <v>1416</v>
      </c>
      <c r="B662" s="2" t="s">
        <v>32</v>
      </c>
      <c r="C662" s="2">
        <v>23</v>
      </c>
      <c r="D662" s="2">
        <v>0</v>
      </c>
      <c r="E662" s="2" t="s">
        <v>1417</v>
      </c>
      <c r="F662" s="2" t="s">
        <v>1397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0</v>
      </c>
      <c r="S662" s="2">
        <v>0</v>
      </c>
      <c r="T662" s="2">
        <v>0</v>
      </c>
      <c r="U662" s="2">
        <v>0</v>
      </c>
      <c r="V662" s="2">
        <v>0</v>
      </c>
      <c r="W662" s="2">
        <v>0</v>
      </c>
      <c r="X662" s="2">
        <v>0</v>
      </c>
      <c r="Y662" s="2">
        <v>0</v>
      </c>
      <c r="Z662" s="2">
        <v>0</v>
      </c>
      <c r="AA662" s="2">
        <v>0</v>
      </c>
      <c r="AB662" s="2">
        <v>0</v>
      </c>
    </row>
    <row r="663" spans="1:28" x14ac:dyDescent="0.2">
      <c r="A663" s="2" t="s">
        <v>1418</v>
      </c>
      <c r="B663" s="2" t="s">
        <v>32</v>
      </c>
      <c r="C663" s="2"/>
      <c r="D663" s="2">
        <v>0</v>
      </c>
      <c r="E663" s="2" t="s">
        <v>1419</v>
      </c>
      <c r="F663" s="2" t="s">
        <v>1397</v>
      </c>
      <c r="G663" s="2">
        <v>0</v>
      </c>
      <c r="H663" s="2">
        <v>0</v>
      </c>
      <c r="I663" s="2">
        <v>0</v>
      </c>
      <c r="J663" s="2">
        <v>0</v>
      </c>
      <c r="K663" s="2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0</v>
      </c>
      <c r="S663" s="2">
        <v>0</v>
      </c>
      <c r="T663" s="2">
        <v>0</v>
      </c>
      <c r="U663" s="2">
        <v>0</v>
      </c>
      <c r="V663" s="2">
        <v>0</v>
      </c>
      <c r="W663" s="2">
        <v>0</v>
      </c>
      <c r="X663" s="2">
        <v>0</v>
      </c>
      <c r="Y663" s="2">
        <v>0</v>
      </c>
      <c r="Z663" s="2">
        <v>0</v>
      </c>
      <c r="AA663" s="2">
        <v>0</v>
      </c>
      <c r="AB663" s="2">
        <v>0</v>
      </c>
    </row>
    <row r="664" spans="1:28" x14ac:dyDescent="0.2">
      <c r="A664" s="2" t="s">
        <v>1420</v>
      </c>
      <c r="B664" s="2" t="s">
        <v>32</v>
      </c>
      <c r="C664" s="2">
        <v>25</v>
      </c>
      <c r="D664" s="2">
        <v>2</v>
      </c>
      <c r="E664" s="2" t="s">
        <v>153</v>
      </c>
      <c r="F664" s="2" t="s">
        <v>1397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0</v>
      </c>
      <c r="S664" s="2">
        <v>0</v>
      </c>
      <c r="T664" s="2">
        <v>0</v>
      </c>
      <c r="U664" s="2">
        <v>0</v>
      </c>
      <c r="V664" s="2">
        <v>0</v>
      </c>
      <c r="W664" s="2">
        <v>0</v>
      </c>
      <c r="X664" s="2">
        <v>0</v>
      </c>
      <c r="Y664" s="2">
        <v>0</v>
      </c>
      <c r="Z664" s="2">
        <v>0</v>
      </c>
      <c r="AA664" s="2">
        <v>0</v>
      </c>
      <c r="AB664" s="2">
        <v>0</v>
      </c>
    </row>
    <row r="665" spans="1:28" x14ac:dyDescent="0.2">
      <c r="A665" s="2" t="s">
        <v>1421</v>
      </c>
      <c r="B665" s="2" t="s">
        <v>32</v>
      </c>
      <c r="C665" s="2">
        <v>25</v>
      </c>
      <c r="D665" s="2">
        <v>2</v>
      </c>
      <c r="E665" s="2" t="s">
        <v>1422</v>
      </c>
      <c r="F665" s="2" t="s">
        <v>1397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0</v>
      </c>
      <c r="S665" s="2">
        <v>0</v>
      </c>
      <c r="T665" s="2">
        <v>0</v>
      </c>
      <c r="U665" s="2">
        <v>0</v>
      </c>
      <c r="V665" s="2">
        <v>0</v>
      </c>
      <c r="W665" s="2">
        <v>0</v>
      </c>
      <c r="X665" s="2">
        <v>0</v>
      </c>
      <c r="Y665" s="2">
        <v>0</v>
      </c>
      <c r="Z665" s="2">
        <v>0</v>
      </c>
      <c r="AA665" s="2">
        <v>0</v>
      </c>
      <c r="AB665" s="2">
        <v>0</v>
      </c>
    </row>
    <row r="666" spans="1:28" x14ac:dyDescent="0.2">
      <c r="A666" s="2" t="s">
        <v>1423</v>
      </c>
      <c r="B666" s="2" t="s">
        <v>32</v>
      </c>
      <c r="C666" s="2">
        <v>24</v>
      </c>
      <c r="D666" s="2">
        <v>3</v>
      </c>
      <c r="E666" s="2" t="s">
        <v>227</v>
      </c>
      <c r="F666" s="2" t="s">
        <v>1397</v>
      </c>
      <c r="G666" s="2">
        <v>0</v>
      </c>
      <c r="H666" s="2">
        <v>0</v>
      </c>
      <c r="I666" s="2">
        <v>0</v>
      </c>
      <c r="J666" s="2">
        <v>0</v>
      </c>
      <c r="K666" s="2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0</v>
      </c>
      <c r="V666" s="2">
        <v>0</v>
      </c>
      <c r="W666" s="2">
        <v>0</v>
      </c>
      <c r="X666" s="2">
        <v>0</v>
      </c>
      <c r="Y666" s="2">
        <v>0</v>
      </c>
      <c r="Z666" s="2">
        <v>0</v>
      </c>
      <c r="AA666" s="2">
        <v>0</v>
      </c>
      <c r="AB666" s="2">
        <v>0</v>
      </c>
    </row>
    <row r="667" spans="1:28" x14ac:dyDescent="0.2">
      <c r="A667" s="2" t="s">
        <v>1424</v>
      </c>
      <c r="B667" s="2" t="s">
        <v>32</v>
      </c>
      <c r="C667" s="2">
        <v>23</v>
      </c>
      <c r="D667" s="2">
        <v>0</v>
      </c>
      <c r="E667" s="2" t="s">
        <v>243</v>
      </c>
      <c r="F667" s="2" t="s">
        <v>1397</v>
      </c>
      <c r="G667" s="2">
        <v>0</v>
      </c>
      <c r="H667" s="2">
        <v>0</v>
      </c>
      <c r="I667" s="2">
        <v>0</v>
      </c>
      <c r="J667" s="2">
        <v>0</v>
      </c>
      <c r="K667" s="2">
        <v>0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0</v>
      </c>
      <c r="V667" s="2">
        <v>0</v>
      </c>
      <c r="W667" s="2">
        <v>0</v>
      </c>
      <c r="X667" s="2">
        <v>0</v>
      </c>
      <c r="Y667" s="2">
        <v>0</v>
      </c>
      <c r="Z667" s="2">
        <v>0</v>
      </c>
      <c r="AA667" s="2">
        <v>0</v>
      </c>
      <c r="AB667" s="2">
        <v>0</v>
      </c>
    </row>
    <row r="668" spans="1:28" x14ac:dyDescent="0.2">
      <c r="A668" s="2" t="s">
        <v>1425</v>
      </c>
      <c r="B668" s="2" t="s">
        <v>32</v>
      </c>
      <c r="C668" s="2">
        <v>24</v>
      </c>
      <c r="D668" s="2">
        <v>0</v>
      </c>
      <c r="E668" s="2" t="s">
        <v>213</v>
      </c>
      <c r="F668" s="2" t="s">
        <v>1397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0</v>
      </c>
      <c r="S668" s="2">
        <v>0</v>
      </c>
      <c r="T668" s="2">
        <v>0</v>
      </c>
      <c r="U668" s="2">
        <v>0</v>
      </c>
      <c r="V668" s="2">
        <v>0</v>
      </c>
      <c r="W668" s="2">
        <v>0</v>
      </c>
      <c r="X668" s="2">
        <v>0</v>
      </c>
      <c r="Y668" s="2">
        <v>0</v>
      </c>
      <c r="Z668" s="2">
        <v>0</v>
      </c>
      <c r="AA668" s="2">
        <v>0</v>
      </c>
      <c r="AB668" s="2">
        <v>0</v>
      </c>
    </row>
    <row r="669" spans="1:28" x14ac:dyDescent="0.2">
      <c r="A669" s="2" t="s">
        <v>1426</v>
      </c>
      <c r="B669" s="2" t="s">
        <v>44</v>
      </c>
      <c r="C669" s="2">
        <v>24</v>
      </c>
      <c r="D669" s="2">
        <v>0</v>
      </c>
      <c r="E669" s="2" t="s">
        <v>558</v>
      </c>
      <c r="F669" s="2" t="s">
        <v>1397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0</v>
      </c>
      <c r="S669" s="2">
        <v>0</v>
      </c>
      <c r="T669" s="2">
        <v>0</v>
      </c>
      <c r="U669" s="2">
        <v>0</v>
      </c>
      <c r="V669" s="2">
        <v>0</v>
      </c>
      <c r="W669" s="2">
        <v>0</v>
      </c>
      <c r="X669" s="2">
        <v>0</v>
      </c>
      <c r="Y669" s="2">
        <v>0</v>
      </c>
      <c r="Z669" s="2">
        <v>0</v>
      </c>
      <c r="AA669" s="2">
        <v>0</v>
      </c>
      <c r="AB669" s="2">
        <v>0</v>
      </c>
    </row>
    <row r="670" spans="1:28" x14ac:dyDescent="0.2">
      <c r="A670" s="2" t="s">
        <v>1427</v>
      </c>
      <c r="B670" s="2" t="s">
        <v>44</v>
      </c>
      <c r="C670" s="2">
        <v>26</v>
      </c>
      <c r="D670" s="2">
        <v>4</v>
      </c>
      <c r="E670" s="2" t="s">
        <v>363</v>
      </c>
      <c r="F670" s="2" t="s">
        <v>1397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0</v>
      </c>
      <c r="V670" s="2">
        <v>0</v>
      </c>
      <c r="W670" s="2">
        <v>0</v>
      </c>
      <c r="X670" s="2">
        <v>0</v>
      </c>
      <c r="Y670" s="2">
        <v>0</v>
      </c>
      <c r="Z670" s="2">
        <v>0</v>
      </c>
      <c r="AA670" s="2">
        <v>0</v>
      </c>
      <c r="AB670" s="2">
        <v>0</v>
      </c>
    </row>
    <row r="671" spans="1:28" x14ac:dyDescent="0.2">
      <c r="A671" s="2" t="s">
        <v>1428</v>
      </c>
      <c r="B671" s="2" t="s">
        <v>44</v>
      </c>
      <c r="C671" s="2">
        <v>26</v>
      </c>
      <c r="D671" s="2">
        <v>2</v>
      </c>
      <c r="E671" s="2" t="s">
        <v>575</v>
      </c>
      <c r="F671" s="2" t="s">
        <v>1397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0</v>
      </c>
      <c r="S671" s="2">
        <v>0</v>
      </c>
      <c r="T671" s="2">
        <v>0</v>
      </c>
      <c r="U671" s="2">
        <v>0</v>
      </c>
      <c r="V671" s="2">
        <v>0</v>
      </c>
      <c r="W671" s="2">
        <v>0</v>
      </c>
      <c r="X671" s="2">
        <v>0</v>
      </c>
      <c r="Y671" s="2">
        <v>0</v>
      </c>
      <c r="Z671" s="2">
        <v>0</v>
      </c>
      <c r="AA671" s="2">
        <v>0</v>
      </c>
      <c r="AB671" s="2">
        <v>0</v>
      </c>
    </row>
    <row r="672" spans="1:28" x14ac:dyDescent="0.2">
      <c r="A672" s="2" t="s">
        <v>1429</v>
      </c>
      <c r="B672" s="2" t="s">
        <v>44</v>
      </c>
      <c r="C672" s="2">
        <v>27</v>
      </c>
      <c r="D672" s="2">
        <v>3</v>
      </c>
      <c r="E672" s="2" t="s">
        <v>243</v>
      </c>
      <c r="F672" s="2" t="s">
        <v>1397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0</v>
      </c>
      <c r="S672" s="2">
        <v>0</v>
      </c>
      <c r="T672" s="2">
        <v>0</v>
      </c>
      <c r="U672" s="2">
        <v>0</v>
      </c>
      <c r="V672" s="2">
        <v>0</v>
      </c>
      <c r="W672" s="2">
        <v>0</v>
      </c>
      <c r="X672" s="2">
        <v>0</v>
      </c>
      <c r="Y672" s="2">
        <v>0</v>
      </c>
      <c r="Z672" s="2">
        <v>0</v>
      </c>
      <c r="AA672" s="2">
        <v>0</v>
      </c>
      <c r="AB672" s="2">
        <v>0</v>
      </c>
    </row>
    <row r="673" spans="1:28" x14ac:dyDescent="0.2">
      <c r="A673" s="2" t="s">
        <v>1430</v>
      </c>
      <c r="B673" s="2" t="s">
        <v>44</v>
      </c>
      <c r="C673" s="2">
        <v>23</v>
      </c>
      <c r="D673" s="2">
        <v>0</v>
      </c>
      <c r="E673" s="2" t="s">
        <v>666</v>
      </c>
      <c r="F673" s="2" t="s">
        <v>1397</v>
      </c>
      <c r="G673" s="2">
        <v>0</v>
      </c>
      <c r="H673" s="2">
        <v>0</v>
      </c>
      <c r="I673" s="2">
        <v>0</v>
      </c>
      <c r="J673" s="2">
        <v>0</v>
      </c>
      <c r="K673" s="2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2">
        <v>0</v>
      </c>
      <c r="X673" s="2">
        <v>0</v>
      </c>
      <c r="Y673" s="2">
        <v>0</v>
      </c>
      <c r="Z673" s="2">
        <v>0</v>
      </c>
      <c r="AA673" s="2">
        <v>0</v>
      </c>
      <c r="AB673" s="2">
        <v>0</v>
      </c>
    </row>
    <row r="674" spans="1:28" x14ac:dyDescent="0.2">
      <c r="A674" s="2" t="s">
        <v>1431</v>
      </c>
      <c r="B674" s="2" t="s">
        <v>44</v>
      </c>
      <c r="C674" s="2">
        <v>26</v>
      </c>
      <c r="D674" s="2">
        <v>3</v>
      </c>
      <c r="E674" s="2" t="s">
        <v>340</v>
      </c>
      <c r="F674" s="2" t="s">
        <v>1397</v>
      </c>
      <c r="G674" s="2">
        <v>0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2">
        <v>0</v>
      </c>
      <c r="X674" s="2">
        <v>0</v>
      </c>
      <c r="Y674" s="2">
        <v>0</v>
      </c>
      <c r="Z674" s="2">
        <v>0</v>
      </c>
      <c r="AA674" s="2">
        <v>0</v>
      </c>
      <c r="AB674" s="2">
        <v>0</v>
      </c>
    </row>
    <row r="675" spans="1:28" x14ac:dyDescent="0.2">
      <c r="A675" s="2" t="s">
        <v>1432</v>
      </c>
      <c r="B675" s="2" t="s">
        <v>44</v>
      </c>
      <c r="C675" s="2">
        <v>25</v>
      </c>
      <c r="D675" s="2">
        <v>2</v>
      </c>
      <c r="E675" s="2" t="s">
        <v>205</v>
      </c>
      <c r="F675" s="2" t="s">
        <v>1397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2">
        <v>0</v>
      </c>
      <c r="X675" s="2">
        <v>0</v>
      </c>
      <c r="Y675" s="2">
        <v>0</v>
      </c>
      <c r="Z675" s="2">
        <v>0</v>
      </c>
      <c r="AA675" s="2">
        <v>0</v>
      </c>
      <c r="AB675" s="2">
        <v>0</v>
      </c>
    </row>
    <row r="676" spans="1:28" x14ac:dyDescent="0.2">
      <c r="A676" s="2" t="s">
        <v>1433</v>
      </c>
      <c r="B676" s="2" t="s">
        <v>44</v>
      </c>
      <c r="C676" s="2">
        <v>27</v>
      </c>
      <c r="D676" s="2">
        <v>4</v>
      </c>
      <c r="E676" s="2" t="s">
        <v>135</v>
      </c>
      <c r="F676" s="2" t="s">
        <v>1397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0</v>
      </c>
      <c r="S676" s="2">
        <v>0</v>
      </c>
      <c r="T676" s="2">
        <v>0</v>
      </c>
      <c r="U676" s="2">
        <v>0</v>
      </c>
      <c r="V676" s="2">
        <v>0</v>
      </c>
      <c r="W676" s="2">
        <v>0</v>
      </c>
      <c r="X676" s="2">
        <v>0</v>
      </c>
      <c r="Y676" s="2">
        <v>0</v>
      </c>
      <c r="Z676" s="2">
        <v>0</v>
      </c>
      <c r="AA676" s="2">
        <v>0</v>
      </c>
      <c r="AB676" s="2">
        <v>0</v>
      </c>
    </row>
    <row r="677" spans="1:28" x14ac:dyDescent="0.2">
      <c r="A677" s="2" t="s">
        <v>1434</v>
      </c>
      <c r="B677" s="2" t="s">
        <v>44</v>
      </c>
      <c r="C677" s="2">
        <v>26</v>
      </c>
      <c r="D677" s="2">
        <v>4</v>
      </c>
      <c r="E677" s="2" t="s">
        <v>1435</v>
      </c>
      <c r="F677" s="2" t="s">
        <v>1397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0</v>
      </c>
      <c r="S677" s="2">
        <v>0</v>
      </c>
      <c r="T677" s="2">
        <v>0</v>
      </c>
      <c r="U677" s="2">
        <v>0</v>
      </c>
      <c r="V677" s="2">
        <v>0</v>
      </c>
      <c r="W677" s="2">
        <v>0</v>
      </c>
      <c r="X677" s="2">
        <v>0</v>
      </c>
      <c r="Y677" s="2">
        <v>0</v>
      </c>
      <c r="Z677" s="2">
        <v>0</v>
      </c>
      <c r="AA677" s="2">
        <v>0</v>
      </c>
      <c r="AB677" s="2">
        <v>0</v>
      </c>
    </row>
    <row r="678" spans="1:28" x14ac:dyDescent="0.2">
      <c r="A678" s="2" t="s">
        <v>1436</v>
      </c>
      <c r="B678" s="2" t="s">
        <v>44</v>
      </c>
      <c r="C678" s="2">
        <v>22</v>
      </c>
      <c r="D678" s="2">
        <v>0</v>
      </c>
      <c r="E678" s="2" t="s">
        <v>171</v>
      </c>
      <c r="F678" s="2" t="s">
        <v>1397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0</v>
      </c>
      <c r="S678" s="2">
        <v>0</v>
      </c>
      <c r="T678" s="2">
        <v>0</v>
      </c>
      <c r="U678" s="2">
        <v>0</v>
      </c>
      <c r="V678" s="2">
        <v>0</v>
      </c>
      <c r="W678" s="2">
        <v>0</v>
      </c>
      <c r="X678" s="2">
        <v>0</v>
      </c>
      <c r="Y678" s="2">
        <v>0</v>
      </c>
      <c r="Z678" s="2">
        <v>0</v>
      </c>
      <c r="AA678" s="2">
        <v>0</v>
      </c>
      <c r="AB678" s="2">
        <v>0</v>
      </c>
    </row>
    <row r="679" spans="1:28" x14ac:dyDescent="0.2">
      <c r="A679" s="2" t="s">
        <v>1437</v>
      </c>
      <c r="B679" s="2" t="s">
        <v>44</v>
      </c>
      <c r="C679" s="2">
        <v>29</v>
      </c>
      <c r="D679" s="2">
        <v>10</v>
      </c>
      <c r="E679" s="2" t="s">
        <v>340</v>
      </c>
      <c r="F679" s="2" t="s">
        <v>1397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0</v>
      </c>
      <c r="S679" s="2">
        <v>0</v>
      </c>
      <c r="T679" s="2">
        <v>0</v>
      </c>
      <c r="U679" s="2">
        <v>0</v>
      </c>
      <c r="V679" s="2">
        <v>0</v>
      </c>
      <c r="W679" s="2">
        <v>0</v>
      </c>
      <c r="X679" s="2">
        <v>0</v>
      </c>
      <c r="Y679" s="2">
        <v>0</v>
      </c>
      <c r="Z679" s="2">
        <v>0</v>
      </c>
      <c r="AA679" s="2">
        <v>0</v>
      </c>
      <c r="AB679" s="2">
        <v>0</v>
      </c>
    </row>
    <row r="680" spans="1:28" x14ac:dyDescent="0.2">
      <c r="A680" s="2" t="s">
        <v>1438</v>
      </c>
      <c r="B680" s="2" t="s">
        <v>44</v>
      </c>
      <c r="C680" s="2">
        <v>24</v>
      </c>
      <c r="D680" s="2">
        <v>2</v>
      </c>
      <c r="E680" s="2" t="s">
        <v>733</v>
      </c>
      <c r="F680" s="2" t="s">
        <v>1397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s="2">
        <v>0</v>
      </c>
      <c r="W680" s="2">
        <v>0</v>
      </c>
      <c r="X680" s="2">
        <v>0</v>
      </c>
      <c r="Y680" s="2">
        <v>0</v>
      </c>
      <c r="Z680" s="2">
        <v>0</v>
      </c>
      <c r="AA680" s="2">
        <v>0</v>
      </c>
      <c r="AB680" s="2">
        <v>0</v>
      </c>
    </row>
    <row r="681" spans="1:28" x14ac:dyDescent="0.2">
      <c r="A681" s="2" t="s">
        <v>1439</v>
      </c>
      <c r="B681" s="2" t="s">
        <v>39</v>
      </c>
      <c r="C681" s="2">
        <v>24</v>
      </c>
      <c r="D681" s="2">
        <v>2</v>
      </c>
      <c r="E681" s="2" t="s">
        <v>340</v>
      </c>
      <c r="F681" s="2" t="s">
        <v>1397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0</v>
      </c>
      <c r="V681" s="2">
        <v>0</v>
      </c>
      <c r="W681" s="2">
        <v>0</v>
      </c>
      <c r="X681" s="2">
        <v>0</v>
      </c>
      <c r="Y681" s="2">
        <v>0</v>
      </c>
      <c r="Z681" s="2">
        <v>0</v>
      </c>
      <c r="AA681" s="2">
        <v>0</v>
      </c>
      <c r="AB681" s="2">
        <v>0</v>
      </c>
    </row>
    <row r="682" spans="1:28" x14ac:dyDescent="0.2">
      <c r="A682" s="2" t="s">
        <v>1440</v>
      </c>
      <c r="B682" s="2" t="s">
        <v>39</v>
      </c>
      <c r="C682" s="2">
        <v>26</v>
      </c>
      <c r="D682" s="2">
        <v>4</v>
      </c>
      <c r="E682" s="2" t="s">
        <v>100</v>
      </c>
      <c r="F682" s="2" t="s">
        <v>1397</v>
      </c>
      <c r="G682" s="2">
        <v>0</v>
      </c>
      <c r="H682" s="2">
        <v>0</v>
      </c>
      <c r="I682" s="2">
        <v>0</v>
      </c>
      <c r="J682" s="2">
        <v>0</v>
      </c>
      <c r="K682" s="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0</v>
      </c>
      <c r="S682" s="2">
        <v>0</v>
      </c>
      <c r="T682" s="2">
        <v>0</v>
      </c>
      <c r="U682" s="2">
        <v>0</v>
      </c>
      <c r="V682" s="2">
        <v>0</v>
      </c>
      <c r="W682" s="2">
        <v>0</v>
      </c>
      <c r="X682" s="2">
        <v>0</v>
      </c>
      <c r="Y682" s="2">
        <v>0</v>
      </c>
      <c r="Z682" s="2">
        <v>0</v>
      </c>
      <c r="AA682" s="2">
        <v>0</v>
      </c>
      <c r="AB682" s="2">
        <v>0</v>
      </c>
    </row>
    <row r="683" spans="1:28" x14ac:dyDescent="0.2">
      <c r="A683" s="2" t="s">
        <v>1441</v>
      </c>
      <c r="B683" s="2" t="s">
        <v>39</v>
      </c>
      <c r="C683" s="2">
        <v>24</v>
      </c>
      <c r="D683" s="2">
        <v>0</v>
      </c>
      <c r="E683" s="2" t="s">
        <v>733</v>
      </c>
      <c r="F683" s="2" t="s">
        <v>1397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0</v>
      </c>
      <c r="S683" s="2">
        <v>0</v>
      </c>
      <c r="T683" s="2">
        <v>0</v>
      </c>
      <c r="U683" s="2">
        <v>0</v>
      </c>
      <c r="V683" s="2">
        <v>0</v>
      </c>
      <c r="W683" s="2">
        <v>0</v>
      </c>
      <c r="X683" s="2">
        <v>0</v>
      </c>
      <c r="Y683" s="2">
        <v>0</v>
      </c>
      <c r="Z683" s="2">
        <v>0</v>
      </c>
      <c r="AA683" s="2">
        <v>0</v>
      </c>
      <c r="AB683" s="2">
        <v>0</v>
      </c>
    </row>
    <row r="684" spans="1:28" x14ac:dyDescent="0.2">
      <c r="A684" s="2" t="s">
        <v>1442</v>
      </c>
      <c r="B684" s="2" t="s">
        <v>39</v>
      </c>
      <c r="C684" s="2">
        <v>21</v>
      </c>
      <c r="D684" s="2">
        <v>0</v>
      </c>
      <c r="E684" s="2" t="s">
        <v>171</v>
      </c>
      <c r="F684" s="2" t="s">
        <v>1397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s="2">
        <v>0</v>
      </c>
      <c r="W684" s="2">
        <v>0</v>
      </c>
      <c r="X684" s="2">
        <v>0</v>
      </c>
      <c r="Y684" s="2">
        <v>0</v>
      </c>
      <c r="Z684" s="2">
        <v>0</v>
      </c>
      <c r="AA684" s="2">
        <v>0</v>
      </c>
      <c r="AB684" s="2">
        <v>0</v>
      </c>
    </row>
    <row r="685" spans="1:28" x14ac:dyDescent="0.2">
      <c r="A685" s="2" t="s">
        <v>1463</v>
      </c>
      <c r="B685" s="2" t="s">
        <v>27</v>
      </c>
      <c r="C685" s="2">
        <v>23</v>
      </c>
      <c r="D685" s="2">
        <v>0</v>
      </c>
      <c r="E685" s="2" t="s">
        <v>215</v>
      </c>
      <c r="F685" s="2" t="s">
        <v>1445</v>
      </c>
      <c r="G685" s="2">
        <v>0</v>
      </c>
      <c r="H685" s="2">
        <v>0</v>
      </c>
      <c r="I685" s="2">
        <v>0</v>
      </c>
      <c r="J685" s="2">
        <v>0</v>
      </c>
      <c r="K685" s="2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0</v>
      </c>
      <c r="S685" s="2">
        <v>0</v>
      </c>
      <c r="T685" s="2">
        <v>0</v>
      </c>
      <c r="U685" s="2">
        <v>0</v>
      </c>
      <c r="V685" s="2">
        <v>0</v>
      </c>
      <c r="W685" s="2">
        <v>0</v>
      </c>
      <c r="X685" s="2">
        <v>0</v>
      </c>
      <c r="Y685" s="2">
        <v>0</v>
      </c>
      <c r="Z685" s="2">
        <v>0</v>
      </c>
      <c r="AA685" s="2">
        <v>0</v>
      </c>
      <c r="AB685" s="2">
        <v>0</v>
      </c>
    </row>
    <row r="686" spans="1:28" x14ac:dyDescent="0.2">
      <c r="A686" s="2" t="s">
        <v>1464</v>
      </c>
      <c r="B686" s="2" t="s">
        <v>27</v>
      </c>
      <c r="C686" s="2">
        <v>26</v>
      </c>
      <c r="D686" s="2">
        <v>4</v>
      </c>
      <c r="E686" s="2" t="s">
        <v>615</v>
      </c>
      <c r="F686" s="2" t="s">
        <v>1445</v>
      </c>
      <c r="G686" s="2">
        <v>0</v>
      </c>
      <c r="H686" s="2">
        <v>0</v>
      </c>
      <c r="I686" s="2">
        <v>0</v>
      </c>
      <c r="J686" s="2">
        <v>0</v>
      </c>
      <c r="K686" s="2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0</v>
      </c>
      <c r="S686" s="2">
        <v>0</v>
      </c>
      <c r="T686" s="2">
        <v>0</v>
      </c>
      <c r="U686" s="2">
        <v>0</v>
      </c>
      <c r="V686" s="2">
        <v>0</v>
      </c>
      <c r="W686" s="2">
        <v>0</v>
      </c>
      <c r="X686" s="2">
        <v>0</v>
      </c>
      <c r="Y686" s="2">
        <v>0</v>
      </c>
      <c r="Z686" s="2">
        <v>0</v>
      </c>
      <c r="AA686" s="2">
        <v>0</v>
      </c>
      <c r="AB686" s="2">
        <v>0</v>
      </c>
    </row>
    <row r="687" spans="1:28" x14ac:dyDescent="0.2">
      <c r="A687" s="2" t="s">
        <v>1465</v>
      </c>
      <c r="B687" s="2" t="s">
        <v>27</v>
      </c>
      <c r="C687" s="2">
        <v>32</v>
      </c>
      <c r="D687" s="2">
        <v>10</v>
      </c>
      <c r="E687" s="2" t="s">
        <v>345</v>
      </c>
      <c r="F687" s="2" t="s">
        <v>1445</v>
      </c>
      <c r="G687" s="2">
        <v>0</v>
      </c>
      <c r="H687" s="2">
        <v>0</v>
      </c>
      <c r="I687" s="2">
        <v>0</v>
      </c>
      <c r="J687" s="2">
        <v>0</v>
      </c>
      <c r="K687" s="2">
        <v>0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0</v>
      </c>
      <c r="S687" s="2">
        <v>0</v>
      </c>
      <c r="T687" s="2">
        <v>0</v>
      </c>
      <c r="U687" s="2">
        <v>0</v>
      </c>
      <c r="V687" s="2">
        <v>0</v>
      </c>
      <c r="W687" s="2">
        <v>0</v>
      </c>
      <c r="X687" s="2">
        <v>0</v>
      </c>
      <c r="Y687" s="2">
        <v>0</v>
      </c>
      <c r="Z687" s="2">
        <v>0</v>
      </c>
      <c r="AA687" s="2">
        <v>0</v>
      </c>
      <c r="AB687" s="2">
        <v>0</v>
      </c>
    </row>
    <row r="688" spans="1:28" x14ac:dyDescent="0.2">
      <c r="A688" s="2" t="s">
        <v>1466</v>
      </c>
      <c r="B688" s="2" t="s">
        <v>32</v>
      </c>
      <c r="C688" s="2">
        <v>22</v>
      </c>
      <c r="D688" s="2">
        <v>0</v>
      </c>
      <c r="E688" s="2" t="s">
        <v>473</v>
      </c>
      <c r="F688" s="2" t="s">
        <v>1445</v>
      </c>
      <c r="G688" s="2">
        <v>0</v>
      </c>
      <c r="H688" s="2">
        <v>0</v>
      </c>
      <c r="I688" s="2">
        <v>0</v>
      </c>
      <c r="J688" s="2">
        <v>0</v>
      </c>
      <c r="K688" s="2">
        <v>0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0</v>
      </c>
      <c r="S688" s="2">
        <v>0</v>
      </c>
      <c r="T688" s="2">
        <v>0</v>
      </c>
      <c r="U688" s="2">
        <v>0</v>
      </c>
      <c r="V688" s="2">
        <v>0</v>
      </c>
      <c r="W688" s="2">
        <v>0</v>
      </c>
      <c r="X688" s="2">
        <v>0</v>
      </c>
      <c r="Y688" s="2">
        <v>0</v>
      </c>
      <c r="Z688" s="2">
        <v>0</v>
      </c>
      <c r="AA688" s="2">
        <v>0</v>
      </c>
      <c r="AB688" s="2">
        <v>0</v>
      </c>
    </row>
    <row r="689" spans="1:28" x14ac:dyDescent="0.2">
      <c r="A689" s="2" t="s">
        <v>1467</v>
      </c>
      <c r="B689" s="2" t="s">
        <v>32</v>
      </c>
      <c r="C689" s="2">
        <v>24</v>
      </c>
      <c r="D689" s="2">
        <v>3</v>
      </c>
      <c r="E689" s="2" t="s">
        <v>398</v>
      </c>
      <c r="F689" s="2" t="s">
        <v>1445</v>
      </c>
      <c r="G689" s="2">
        <v>0</v>
      </c>
      <c r="H689" s="2">
        <v>0</v>
      </c>
      <c r="I689" s="2">
        <v>0</v>
      </c>
      <c r="J689" s="2">
        <v>0</v>
      </c>
      <c r="K689" s="2">
        <v>0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0</v>
      </c>
      <c r="S689" s="2">
        <v>0</v>
      </c>
      <c r="T689" s="2">
        <v>0</v>
      </c>
      <c r="U689" s="2">
        <v>0</v>
      </c>
      <c r="V689" s="2">
        <v>0</v>
      </c>
      <c r="W689" s="2">
        <v>0</v>
      </c>
      <c r="X689" s="2">
        <v>0</v>
      </c>
      <c r="Y689" s="2">
        <v>0</v>
      </c>
      <c r="Z689" s="2">
        <v>0</v>
      </c>
      <c r="AA689" s="2">
        <v>0</v>
      </c>
      <c r="AB689" s="2">
        <v>0</v>
      </c>
    </row>
    <row r="690" spans="1:28" x14ac:dyDescent="0.2">
      <c r="A690" s="2" t="s">
        <v>1468</v>
      </c>
      <c r="B690" s="2" t="s">
        <v>32</v>
      </c>
      <c r="C690" s="2">
        <v>25</v>
      </c>
      <c r="D690" s="2">
        <v>0</v>
      </c>
      <c r="E690" s="2" t="s">
        <v>135</v>
      </c>
      <c r="F690" s="2" t="s">
        <v>1445</v>
      </c>
      <c r="G690" s="2">
        <v>0</v>
      </c>
      <c r="H690" s="2">
        <v>0</v>
      </c>
      <c r="I690" s="2">
        <v>0</v>
      </c>
      <c r="J690" s="2">
        <v>0</v>
      </c>
      <c r="K690" s="2">
        <v>0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0</v>
      </c>
      <c r="S690" s="2">
        <v>0</v>
      </c>
      <c r="T690" s="2">
        <v>0</v>
      </c>
      <c r="U690" s="2">
        <v>0</v>
      </c>
      <c r="V690" s="2">
        <v>0</v>
      </c>
      <c r="W690" s="2">
        <v>0</v>
      </c>
      <c r="X690" s="2">
        <v>0</v>
      </c>
      <c r="Y690" s="2">
        <v>0</v>
      </c>
      <c r="Z690" s="2">
        <v>0</v>
      </c>
      <c r="AA690" s="2">
        <v>0</v>
      </c>
      <c r="AB690" s="2">
        <v>0</v>
      </c>
    </row>
    <row r="691" spans="1:28" x14ac:dyDescent="0.2">
      <c r="A691" s="2" t="s">
        <v>1469</v>
      </c>
      <c r="B691" s="2" t="s">
        <v>32</v>
      </c>
      <c r="C691" s="2">
        <v>23</v>
      </c>
      <c r="D691" s="2">
        <v>0</v>
      </c>
      <c r="E691" s="2" t="s">
        <v>171</v>
      </c>
      <c r="F691" s="2" t="s">
        <v>1445</v>
      </c>
      <c r="G691" s="2">
        <v>0</v>
      </c>
      <c r="H691" s="2">
        <v>0</v>
      </c>
      <c r="I691" s="2">
        <v>0</v>
      </c>
      <c r="J691" s="2">
        <v>0</v>
      </c>
      <c r="K691" s="2">
        <v>0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0</v>
      </c>
      <c r="S691" s="2">
        <v>0</v>
      </c>
      <c r="T691" s="2">
        <v>0</v>
      </c>
      <c r="U691" s="2">
        <v>0</v>
      </c>
      <c r="V691" s="2">
        <v>0</v>
      </c>
      <c r="W691" s="2">
        <v>0</v>
      </c>
      <c r="X691" s="2">
        <v>0</v>
      </c>
      <c r="Y691" s="2">
        <v>0</v>
      </c>
      <c r="Z691" s="2">
        <v>0</v>
      </c>
      <c r="AA691" s="2">
        <v>0</v>
      </c>
      <c r="AB691" s="2">
        <v>0</v>
      </c>
    </row>
    <row r="692" spans="1:28" x14ac:dyDescent="0.2">
      <c r="A692" s="2" t="s">
        <v>1470</v>
      </c>
      <c r="B692" s="2" t="s">
        <v>32</v>
      </c>
      <c r="C692" s="2">
        <v>22</v>
      </c>
      <c r="D692" s="2">
        <v>0</v>
      </c>
      <c r="E692" s="2" t="s">
        <v>733</v>
      </c>
      <c r="F692" s="2" t="s">
        <v>1445</v>
      </c>
      <c r="G692" s="2">
        <v>0</v>
      </c>
      <c r="H692" s="2">
        <v>0</v>
      </c>
      <c r="I692" s="2">
        <v>0</v>
      </c>
      <c r="J692" s="2">
        <v>0</v>
      </c>
      <c r="K692" s="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0</v>
      </c>
      <c r="S692" s="2">
        <v>0</v>
      </c>
      <c r="T692" s="2">
        <v>0</v>
      </c>
      <c r="U692" s="2">
        <v>0</v>
      </c>
      <c r="V692" s="2">
        <v>0</v>
      </c>
      <c r="W692" s="2">
        <v>0</v>
      </c>
      <c r="X692" s="2">
        <v>0</v>
      </c>
      <c r="Y692" s="2">
        <v>0</v>
      </c>
      <c r="Z692" s="2">
        <v>0</v>
      </c>
      <c r="AA692" s="2">
        <v>0</v>
      </c>
      <c r="AB692" s="2">
        <v>0</v>
      </c>
    </row>
    <row r="693" spans="1:28" x14ac:dyDescent="0.2">
      <c r="A693" s="2" t="s">
        <v>1471</v>
      </c>
      <c r="B693" s="2" t="s">
        <v>44</v>
      </c>
      <c r="C693" s="2">
        <v>24</v>
      </c>
      <c r="D693" s="2">
        <v>0</v>
      </c>
      <c r="E693" s="2" t="s">
        <v>473</v>
      </c>
      <c r="F693" s="2" t="s">
        <v>1445</v>
      </c>
      <c r="G693" s="2">
        <v>0</v>
      </c>
      <c r="H693" s="2">
        <v>0</v>
      </c>
      <c r="I693" s="2">
        <v>0</v>
      </c>
      <c r="J693" s="2">
        <v>0</v>
      </c>
      <c r="K693" s="2">
        <v>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2">
        <v>0</v>
      </c>
      <c r="X693" s="2">
        <v>0</v>
      </c>
      <c r="Y693" s="2">
        <v>0</v>
      </c>
      <c r="Z693" s="2">
        <v>0</v>
      </c>
      <c r="AA693" s="2">
        <v>0</v>
      </c>
      <c r="AB693" s="2">
        <v>0</v>
      </c>
    </row>
    <row r="694" spans="1:28" x14ac:dyDescent="0.2">
      <c r="A694" s="2" t="s">
        <v>1472</v>
      </c>
      <c r="B694" s="2" t="s">
        <v>44</v>
      </c>
      <c r="C694" s="2">
        <v>26</v>
      </c>
      <c r="D694" s="2">
        <v>2</v>
      </c>
      <c r="E694" s="2" t="s">
        <v>358</v>
      </c>
      <c r="F694" s="2" t="s">
        <v>1445</v>
      </c>
      <c r="G694" s="2">
        <v>0</v>
      </c>
      <c r="H694" s="2">
        <v>0</v>
      </c>
      <c r="I694" s="2">
        <v>0</v>
      </c>
      <c r="J694" s="2">
        <v>0</v>
      </c>
      <c r="K694" s="2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2">
        <v>0</v>
      </c>
      <c r="X694" s="2">
        <v>0</v>
      </c>
      <c r="Y694" s="2">
        <v>0</v>
      </c>
      <c r="Z694" s="2">
        <v>0</v>
      </c>
      <c r="AA694" s="2">
        <v>0</v>
      </c>
      <c r="AB694" s="2">
        <v>0</v>
      </c>
    </row>
    <row r="695" spans="1:28" x14ac:dyDescent="0.2">
      <c r="A695" s="2" t="s">
        <v>1473</v>
      </c>
      <c r="B695" s="2" t="s">
        <v>44</v>
      </c>
      <c r="C695" s="2">
        <v>25</v>
      </c>
      <c r="D695" s="2">
        <v>0</v>
      </c>
      <c r="E695" s="2" t="s">
        <v>1474</v>
      </c>
      <c r="F695" s="2" t="s">
        <v>1445</v>
      </c>
      <c r="G695" s="2">
        <v>0</v>
      </c>
      <c r="H695" s="2">
        <v>0</v>
      </c>
      <c r="I695" s="2">
        <v>0</v>
      </c>
      <c r="J695" s="2">
        <v>0</v>
      </c>
      <c r="K695" s="2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2">
        <v>0</v>
      </c>
      <c r="X695" s="2">
        <v>0</v>
      </c>
      <c r="Y695" s="2">
        <v>0</v>
      </c>
      <c r="Z695" s="2">
        <v>0</v>
      </c>
      <c r="AA695" s="2">
        <v>0</v>
      </c>
      <c r="AB695" s="2">
        <v>0</v>
      </c>
    </row>
    <row r="696" spans="1:28" x14ac:dyDescent="0.2">
      <c r="A696" s="2" t="s">
        <v>1475</v>
      </c>
      <c r="B696" s="2" t="s">
        <v>44</v>
      </c>
      <c r="C696" s="2">
        <v>25</v>
      </c>
      <c r="D696" s="2">
        <v>1</v>
      </c>
      <c r="E696" s="2" t="s">
        <v>742</v>
      </c>
      <c r="F696" s="2" t="s">
        <v>1445</v>
      </c>
      <c r="G696" s="2">
        <v>0</v>
      </c>
      <c r="H696" s="2">
        <v>0</v>
      </c>
      <c r="I696" s="2">
        <v>0</v>
      </c>
      <c r="J696" s="2">
        <v>0</v>
      </c>
      <c r="K696" s="2">
        <v>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">
        <v>0</v>
      </c>
      <c r="S696" s="2">
        <v>0</v>
      </c>
      <c r="T696" s="2">
        <v>0</v>
      </c>
      <c r="U696" s="2">
        <v>0</v>
      </c>
      <c r="V696" s="2">
        <v>0</v>
      </c>
      <c r="W696" s="2">
        <v>0</v>
      </c>
      <c r="X696" s="2">
        <v>0</v>
      </c>
      <c r="Y696" s="2">
        <v>0</v>
      </c>
      <c r="Z696" s="2">
        <v>0</v>
      </c>
      <c r="AA696" s="2">
        <v>0</v>
      </c>
      <c r="AB696" s="2">
        <v>0</v>
      </c>
    </row>
    <row r="697" spans="1:28" x14ac:dyDescent="0.2">
      <c r="A697" s="2" t="s">
        <v>1476</v>
      </c>
      <c r="B697" s="2" t="s">
        <v>44</v>
      </c>
      <c r="C697" s="2">
        <v>24</v>
      </c>
      <c r="D697" s="2">
        <v>0</v>
      </c>
      <c r="E697" s="2" t="s">
        <v>469</v>
      </c>
      <c r="F697" s="2" t="s">
        <v>1445</v>
      </c>
      <c r="G697" s="2">
        <v>0</v>
      </c>
      <c r="H697" s="2">
        <v>0</v>
      </c>
      <c r="I697" s="2">
        <v>0</v>
      </c>
      <c r="J697" s="2">
        <v>0</v>
      </c>
      <c r="K697" s="2">
        <v>0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0</v>
      </c>
      <c r="S697" s="2">
        <v>0</v>
      </c>
      <c r="T697" s="2">
        <v>0</v>
      </c>
      <c r="U697" s="2">
        <v>0</v>
      </c>
      <c r="V697" s="2">
        <v>0</v>
      </c>
      <c r="W697" s="2">
        <v>0</v>
      </c>
      <c r="X697" s="2">
        <v>0</v>
      </c>
      <c r="Y697" s="2">
        <v>0</v>
      </c>
      <c r="Z697" s="2">
        <v>0</v>
      </c>
      <c r="AA697" s="2">
        <v>0</v>
      </c>
      <c r="AB697" s="2">
        <v>0</v>
      </c>
    </row>
    <row r="698" spans="1:28" x14ac:dyDescent="0.2">
      <c r="A698" s="2" t="s">
        <v>1477</v>
      </c>
      <c r="B698" s="2" t="s">
        <v>44</v>
      </c>
      <c r="C698" s="2">
        <v>24</v>
      </c>
      <c r="D698" s="2">
        <v>0</v>
      </c>
      <c r="E698" s="2" t="s">
        <v>108</v>
      </c>
      <c r="F698" s="2" t="s">
        <v>1445</v>
      </c>
      <c r="G698" s="2">
        <v>0</v>
      </c>
      <c r="H698" s="2">
        <v>0</v>
      </c>
      <c r="I698" s="2">
        <v>0</v>
      </c>
      <c r="J698" s="2">
        <v>0</v>
      </c>
      <c r="K698" s="2">
        <v>0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0</v>
      </c>
      <c r="V698" s="2">
        <v>0</v>
      </c>
      <c r="W698" s="2">
        <v>0</v>
      </c>
      <c r="X698" s="2">
        <v>0</v>
      </c>
      <c r="Y698" s="2">
        <v>0</v>
      </c>
      <c r="Z698" s="2">
        <v>0</v>
      </c>
      <c r="AA698" s="2">
        <v>0</v>
      </c>
      <c r="AB698" s="2">
        <v>0</v>
      </c>
    </row>
    <row r="699" spans="1:28" x14ac:dyDescent="0.2">
      <c r="A699" s="2" t="s">
        <v>1478</v>
      </c>
      <c r="B699" s="2" t="s">
        <v>44</v>
      </c>
      <c r="C699" s="2">
        <v>30</v>
      </c>
      <c r="D699" s="2">
        <v>8</v>
      </c>
      <c r="E699" s="2" t="s">
        <v>560</v>
      </c>
      <c r="F699" s="2" t="s">
        <v>1445</v>
      </c>
      <c r="G699" s="2">
        <v>0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0</v>
      </c>
      <c r="S699" s="2">
        <v>0</v>
      </c>
      <c r="T699" s="2">
        <v>0</v>
      </c>
      <c r="U699" s="2">
        <v>0</v>
      </c>
      <c r="V699" s="2">
        <v>0</v>
      </c>
      <c r="W699" s="2">
        <v>0</v>
      </c>
      <c r="X699" s="2">
        <v>0</v>
      </c>
      <c r="Y699" s="2">
        <v>0</v>
      </c>
      <c r="Z699" s="2">
        <v>0</v>
      </c>
      <c r="AA699" s="2">
        <v>0</v>
      </c>
      <c r="AB699" s="2">
        <v>0</v>
      </c>
    </row>
    <row r="700" spans="1:28" x14ac:dyDescent="0.2">
      <c r="A700" s="2" t="s">
        <v>1479</v>
      </c>
      <c r="B700" s="2" t="s">
        <v>44</v>
      </c>
      <c r="C700" s="2">
        <v>25</v>
      </c>
      <c r="D700" s="2">
        <v>4</v>
      </c>
      <c r="E700" s="2" t="s">
        <v>239</v>
      </c>
      <c r="F700" s="2" t="s">
        <v>1445</v>
      </c>
      <c r="G700" s="2">
        <v>0</v>
      </c>
      <c r="H700" s="2">
        <v>0</v>
      </c>
      <c r="I700" s="2">
        <v>0</v>
      </c>
      <c r="J700" s="2">
        <v>0</v>
      </c>
      <c r="K700" s="2">
        <v>0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0</v>
      </c>
      <c r="S700" s="2">
        <v>0</v>
      </c>
      <c r="T700" s="2">
        <v>0</v>
      </c>
      <c r="U700" s="2">
        <v>0</v>
      </c>
      <c r="V700" s="2">
        <v>0</v>
      </c>
      <c r="W700" s="2">
        <v>0</v>
      </c>
      <c r="X700" s="2">
        <v>0</v>
      </c>
      <c r="Y700" s="2">
        <v>0</v>
      </c>
      <c r="Z700" s="2">
        <v>0</v>
      </c>
      <c r="AA700" s="2">
        <v>0</v>
      </c>
      <c r="AB700" s="2">
        <v>0</v>
      </c>
    </row>
    <row r="701" spans="1:28" x14ac:dyDescent="0.2">
      <c r="A701" s="2" t="s">
        <v>1480</v>
      </c>
      <c r="B701" s="2" t="s">
        <v>44</v>
      </c>
      <c r="C701" s="2">
        <v>21</v>
      </c>
      <c r="D701" s="2">
        <v>0</v>
      </c>
      <c r="E701" s="2" t="s">
        <v>209</v>
      </c>
      <c r="F701" s="2" t="s">
        <v>1445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2">
        <v>0</v>
      </c>
      <c r="X701" s="2">
        <v>0</v>
      </c>
      <c r="Y701" s="2">
        <v>0</v>
      </c>
      <c r="Z701" s="2">
        <v>0</v>
      </c>
      <c r="AA701" s="2">
        <v>0</v>
      </c>
      <c r="AB701" s="2">
        <v>0</v>
      </c>
    </row>
    <row r="702" spans="1:28" x14ac:dyDescent="0.2">
      <c r="A702" s="2" t="s">
        <v>1481</v>
      </c>
      <c r="B702" s="2" t="s">
        <v>44</v>
      </c>
      <c r="C702" s="2">
        <v>27</v>
      </c>
      <c r="D702" s="2">
        <v>1</v>
      </c>
      <c r="E702" s="2" t="s">
        <v>135</v>
      </c>
      <c r="F702" s="2" t="s">
        <v>1445</v>
      </c>
      <c r="G702" s="2">
        <v>0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2">
        <v>0</v>
      </c>
      <c r="X702" s="2">
        <v>0</v>
      </c>
      <c r="Y702" s="2">
        <v>0</v>
      </c>
      <c r="Z702" s="2">
        <v>0</v>
      </c>
      <c r="AA702" s="2">
        <v>0</v>
      </c>
      <c r="AB702" s="2">
        <v>0</v>
      </c>
    </row>
    <row r="703" spans="1:28" x14ac:dyDescent="0.2">
      <c r="A703" s="2" t="s">
        <v>1482</v>
      </c>
      <c r="B703" s="2" t="s">
        <v>44</v>
      </c>
      <c r="C703" s="2">
        <v>26</v>
      </c>
      <c r="D703" s="2">
        <v>1</v>
      </c>
      <c r="E703" s="2" t="s">
        <v>291</v>
      </c>
      <c r="F703" s="2" t="s">
        <v>1445</v>
      </c>
      <c r="G703" s="2">
        <v>0</v>
      </c>
      <c r="H703" s="2">
        <v>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2">
        <v>0</v>
      </c>
      <c r="X703" s="2">
        <v>0</v>
      </c>
      <c r="Y703" s="2">
        <v>0</v>
      </c>
      <c r="Z703" s="2">
        <v>0</v>
      </c>
      <c r="AA703" s="2">
        <v>0</v>
      </c>
      <c r="AB703" s="2">
        <v>0</v>
      </c>
    </row>
    <row r="704" spans="1:28" x14ac:dyDescent="0.2">
      <c r="A704" s="2" t="s">
        <v>1483</v>
      </c>
      <c r="B704" s="2" t="s">
        <v>44</v>
      </c>
      <c r="C704" s="2">
        <v>24</v>
      </c>
      <c r="D704" s="2">
        <v>0</v>
      </c>
      <c r="E704" s="2" t="s">
        <v>1484</v>
      </c>
      <c r="F704" s="2" t="s">
        <v>1445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2">
        <v>0</v>
      </c>
      <c r="X704" s="2">
        <v>0</v>
      </c>
      <c r="Y704" s="2">
        <v>0</v>
      </c>
      <c r="Z704" s="2">
        <v>0</v>
      </c>
      <c r="AA704" s="2">
        <v>0</v>
      </c>
      <c r="AB704" s="2">
        <v>0</v>
      </c>
    </row>
    <row r="705" spans="1:28" x14ac:dyDescent="0.2">
      <c r="A705" s="2" t="s">
        <v>1485</v>
      </c>
      <c r="B705" s="2" t="s">
        <v>39</v>
      </c>
      <c r="C705" s="2">
        <v>27</v>
      </c>
      <c r="D705" s="2">
        <v>5</v>
      </c>
      <c r="E705" s="2" t="s">
        <v>85</v>
      </c>
      <c r="F705" s="2" t="s">
        <v>1445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2">
        <v>0</v>
      </c>
      <c r="X705" s="2">
        <v>0</v>
      </c>
      <c r="Y705" s="2">
        <v>0</v>
      </c>
      <c r="Z705" s="2">
        <v>0</v>
      </c>
      <c r="AA705" s="2">
        <v>0</v>
      </c>
      <c r="AB705" s="2">
        <v>0</v>
      </c>
    </row>
    <row r="706" spans="1:28" x14ac:dyDescent="0.2">
      <c r="A706" s="2" t="s">
        <v>1486</v>
      </c>
      <c r="B706" s="2" t="s">
        <v>39</v>
      </c>
      <c r="C706" s="2">
        <v>25</v>
      </c>
      <c r="D706" s="2">
        <v>4</v>
      </c>
      <c r="E706" s="2" t="s">
        <v>95</v>
      </c>
      <c r="F706" s="2" t="s">
        <v>1445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2">
        <v>0</v>
      </c>
      <c r="X706" s="2">
        <v>0</v>
      </c>
      <c r="Y706" s="2">
        <v>0</v>
      </c>
      <c r="Z706" s="2">
        <v>0</v>
      </c>
      <c r="AA706" s="2">
        <v>0</v>
      </c>
      <c r="AB706" s="2">
        <v>0</v>
      </c>
    </row>
    <row r="707" spans="1:28" x14ac:dyDescent="0.2">
      <c r="A707" s="2" t="s">
        <v>1487</v>
      </c>
      <c r="B707" s="2" t="s">
        <v>39</v>
      </c>
      <c r="C707" s="2">
        <v>24</v>
      </c>
      <c r="D707" s="2">
        <v>0</v>
      </c>
      <c r="E707" s="2" t="s">
        <v>556</v>
      </c>
      <c r="F707" s="2" t="s">
        <v>1445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2">
        <v>0</v>
      </c>
      <c r="X707" s="2">
        <v>0</v>
      </c>
      <c r="Y707" s="2">
        <v>0</v>
      </c>
      <c r="Z707" s="2">
        <v>0</v>
      </c>
      <c r="AA707" s="2">
        <v>0</v>
      </c>
      <c r="AB707" s="2">
        <v>0</v>
      </c>
    </row>
    <row r="708" spans="1:28" x14ac:dyDescent="0.2">
      <c r="A708" s="2" t="s">
        <v>1488</v>
      </c>
      <c r="B708" s="2" t="s">
        <v>39</v>
      </c>
      <c r="C708" s="2">
        <v>24</v>
      </c>
      <c r="D708" s="2">
        <v>0</v>
      </c>
      <c r="E708" s="2" t="s">
        <v>65</v>
      </c>
      <c r="F708" s="2" t="s">
        <v>1445</v>
      </c>
      <c r="G708" s="2">
        <v>0</v>
      </c>
      <c r="H708" s="2">
        <v>0</v>
      </c>
      <c r="I708" s="2">
        <v>0</v>
      </c>
      <c r="J708" s="2">
        <v>0</v>
      </c>
      <c r="K708" s="2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s="2">
        <v>0</v>
      </c>
      <c r="W708" s="2">
        <v>0</v>
      </c>
      <c r="X708" s="2">
        <v>0</v>
      </c>
      <c r="Y708" s="2">
        <v>0</v>
      </c>
      <c r="Z708" s="2">
        <v>0</v>
      </c>
      <c r="AA708" s="2">
        <v>0</v>
      </c>
      <c r="AB708" s="2">
        <v>0</v>
      </c>
    </row>
    <row r="709" spans="1:28" x14ac:dyDescent="0.2">
      <c r="A709" s="2" t="s">
        <v>1489</v>
      </c>
      <c r="B709" s="2" t="s">
        <v>39</v>
      </c>
      <c r="C709" s="2">
        <v>26</v>
      </c>
      <c r="D709" s="2">
        <v>2</v>
      </c>
      <c r="E709" s="2" t="s">
        <v>227</v>
      </c>
      <c r="F709" s="2" t="s">
        <v>1445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2">
        <v>0</v>
      </c>
      <c r="X709" s="2">
        <v>0</v>
      </c>
      <c r="Y709" s="2">
        <v>0</v>
      </c>
      <c r="Z709" s="2">
        <v>0</v>
      </c>
      <c r="AA709" s="2">
        <v>0</v>
      </c>
      <c r="AB709" s="2">
        <v>0</v>
      </c>
    </row>
    <row r="710" spans="1:28" x14ac:dyDescent="0.2">
      <c r="A710" s="2" t="s">
        <v>1509</v>
      </c>
      <c r="B710" s="2" t="s">
        <v>27</v>
      </c>
      <c r="C710" s="2">
        <v>30</v>
      </c>
      <c r="D710" s="2">
        <v>6</v>
      </c>
      <c r="E710" s="2" t="s">
        <v>173</v>
      </c>
      <c r="F710" s="2" t="s">
        <v>1492</v>
      </c>
      <c r="G710" s="2">
        <v>0</v>
      </c>
      <c r="H710" s="2">
        <v>0</v>
      </c>
      <c r="I710" s="2">
        <v>0</v>
      </c>
      <c r="J710" s="2">
        <v>0</v>
      </c>
      <c r="K710" s="2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0</v>
      </c>
      <c r="S710" s="2">
        <v>0</v>
      </c>
      <c r="T710" s="2">
        <v>0</v>
      </c>
      <c r="U710" s="2">
        <v>0</v>
      </c>
      <c r="V710" s="2">
        <v>0</v>
      </c>
      <c r="W710" s="2">
        <v>0</v>
      </c>
      <c r="X710" s="2">
        <v>0</v>
      </c>
      <c r="Y710" s="2">
        <v>0</v>
      </c>
      <c r="Z710" s="2">
        <v>0</v>
      </c>
      <c r="AA710" s="2">
        <v>0</v>
      </c>
      <c r="AB710" s="2">
        <v>0</v>
      </c>
    </row>
    <row r="711" spans="1:28" x14ac:dyDescent="0.2">
      <c r="A711" s="2" t="s">
        <v>1510</v>
      </c>
      <c r="B711" s="2" t="s">
        <v>27</v>
      </c>
      <c r="C711" s="2">
        <v>26</v>
      </c>
      <c r="D711" s="2">
        <v>5</v>
      </c>
      <c r="E711" s="2" t="s">
        <v>79</v>
      </c>
      <c r="F711" s="2" t="s">
        <v>1492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2">
        <v>0</v>
      </c>
      <c r="X711" s="2">
        <v>0</v>
      </c>
      <c r="Y711" s="2">
        <v>0</v>
      </c>
      <c r="Z711" s="2">
        <v>0</v>
      </c>
      <c r="AA711" s="2">
        <v>0</v>
      </c>
      <c r="AB711" s="2">
        <v>0</v>
      </c>
    </row>
    <row r="712" spans="1:28" x14ac:dyDescent="0.2">
      <c r="A712" s="2" t="s">
        <v>1511</v>
      </c>
      <c r="B712" s="2" t="s">
        <v>27</v>
      </c>
      <c r="C712" s="2">
        <v>23</v>
      </c>
      <c r="D712" s="2">
        <v>2</v>
      </c>
      <c r="E712" s="2" t="s">
        <v>556</v>
      </c>
      <c r="F712" s="2" t="s">
        <v>1492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V712" s="2">
        <v>0</v>
      </c>
      <c r="W712" s="2">
        <v>0</v>
      </c>
      <c r="X712" s="2">
        <v>0</v>
      </c>
      <c r="Y712" s="2">
        <v>0</v>
      </c>
      <c r="Z712" s="2">
        <v>0</v>
      </c>
      <c r="AA712" s="2">
        <v>0</v>
      </c>
      <c r="AB712" s="2">
        <v>0</v>
      </c>
    </row>
    <row r="713" spans="1:28" x14ac:dyDescent="0.2">
      <c r="A713" s="2" t="s">
        <v>1512</v>
      </c>
      <c r="B713" s="2" t="s">
        <v>27</v>
      </c>
      <c r="C713" s="2">
        <v>23</v>
      </c>
      <c r="D713" s="2">
        <v>0</v>
      </c>
      <c r="E713" s="2" t="s">
        <v>243</v>
      </c>
      <c r="F713" s="2" t="s">
        <v>1492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0</v>
      </c>
      <c r="S713" s="2">
        <v>0</v>
      </c>
      <c r="T713" s="2">
        <v>0</v>
      </c>
      <c r="U713" s="2">
        <v>0</v>
      </c>
      <c r="V713" s="2">
        <v>0</v>
      </c>
      <c r="W713" s="2">
        <v>0</v>
      </c>
      <c r="X713" s="2">
        <v>0</v>
      </c>
      <c r="Y713" s="2">
        <v>0</v>
      </c>
      <c r="Z713" s="2">
        <v>0</v>
      </c>
      <c r="AA713" s="2">
        <v>0</v>
      </c>
      <c r="AB713" s="2">
        <v>0</v>
      </c>
    </row>
    <row r="714" spans="1:28" x14ac:dyDescent="0.2">
      <c r="A714" s="2" t="s">
        <v>1513</v>
      </c>
      <c r="B714" s="2" t="s">
        <v>32</v>
      </c>
      <c r="C714" s="2">
        <v>25</v>
      </c>
      <c r="D714" s="2">
        <v>0</v>
      </c>
      <c r="E714" s="2" t="s">
        <v>718</v>
      </c>
      <c r="F714" s="2" t="s">
        <v>1492</v>
      </c>
      <c r="G714" s="2">
        <v>0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2">
        <v>0</v>
      </c>
      <c r="X714" s="2">
        <v>0</v>
      </c>
      <c r="Y714" s="2">
        <v>0</v>
      </c>
      <c r="Z714" s="2">
        <v>0</v>
      </c>
      <c r="AA714" s="2">
        <v>0</v>
      </c>
      <c r="AB714" s="2">
        <v>0</v>
      </c>
    </row>
    <row r="715" spans="1:28" x14ac:dyDescent="0.2">
      <c r="A715" s="2" t="s">
        <v>1514</v>
      </c>
      <c r="B715" s="2" t="s">
        <v>32</v>
      </c>
      <c r="C715" s="2">
        <v>22</v>
      </c>
      <c r="D715" s="2">
        <v>0</v>
      </c>
      <c r="E715" s="2" t="s">
        <v>222</v>
      </c>
      <c r="F715" s="2" t="s">
        <v>1492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2">
        <v>0</v>
      </c>
      <c r="X715" s="2">
        <v>0</v>
      </c>
      <c r="Y715" s="2">
        <v>0</v>
      </c>
      <c r="Z715" s="2">
        <v>0</v>
      </c>
      <c r="AA715" s="2">
        <v>0</v>
      </c>
      <c r="AB715" s="2">
        <v>0</v>
      </c>
    </row>
    <row r="716" spans="1:28" x14ac:dyDescent="0.2">
      <c r="A716" s="2" t="s">
        <v>1515</v>
      </c>
      <c r="B716" s="2" t="s">
        <v>32</v>
      </c>
      <c r="C716" s="2">
        <v>24</v>
      </c>
      <c r="D716" s="2">
        <v>0</v>
      </c>
      <c r="E716" s="2" t="s">
        <v>1516</v>
      </c>
      <c r="F716" s="2" t="s">
        <v>1492</v>
      </c>
      <c r="G716" s="2">
        <v>0</v>
      </c>
      <c r="H716" s="2">
        <v>0</v>
      </c>
      <c r="I716" s="2">
        <v>0</v>
      </c>
      <c r="J716" s="2">
        <v>0</v>
      </c>
      <c r="K716" s="2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2">
        <v>0</v>
      </c>
      <c r="X716" s="2">
        <v>0</v>
      </c>
      <c r="Y716" s="2">
        <v>0</v>
      </c>
      <c r="Z716" s="2">
        <v>0</v>
      </c>
      <c r="AA716" s="2">
        <v>0</v>
      </c>
      <c r="AB716" s="2">
        <v>0</v>
      </c>
    </row>
    <row r="717" spans="1:28" x14ac:dyDescent="0.2">
      <c r="A717" s="2" t="s">
        <v>1517</v>
      </c>
      <c r="B717" s="2" t="s">
        <v>32</v>
      </c>
      <c r="C717" s="2">
        <v>24</v>
      </c>
      <c r="D717" s="2">
        <v>0</v>
      </c>
      <c r="E717" s="2" t="s">
        <v>457</v>
      </c>
      <c r="F717" s="2" t="s">
        <v>1492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s="2">
        <v>0</v>
      </c>
      <c r="W717" s="2">
        <v>0</v>
      </c>
      <c r="X717" s="2">
        <v>0</v>
      </c>
      <c r="Y717" s="2">
        <v>0</v>
      </c>
      <c r="Z717" s="2">
        <v>0</v>
      </c>
      <c r="AA717" s="2">
        <v>0</v>
      </c>
      <c r="AB717" s="2">
        <v>0</v>
      </c>
    </row>
    <row r="718" spans="1:28" x14ac:dyDescent="0.2">
      <c r="A718" s="2" t="s">
        <v>1518</v>
      </c>
      <c r="B718" s="2" t="s">
        <v>32</v>
      </c>
      <c r="C718" s="2">
        <v>27</v>
      </c>
      <c r="D718" s="2">
        <v>6</v>
      </c>
      <c r="E718" s="2" t="s">
        <v>97</v>
      </c>
      <c r="F718" s="2" t="s">
        <v>1492</v>
      </c>
      <c r="G718" s="2">
        <v>0</v>
      </c>
      <c r="H718" s="2">
        <v>0</v>
      </c>
      <c r="I718" s="2">
        <v>0</v>
      </c>
      <c r="J718" s="2">
        <v>0</v>
      </c>
      <c r="K718" s="2">
        <v>0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0</v>
      </c>
      <c r="S718" s="2">
        <v>0</v>
      </c>
      <c r="T718" s="2">
        <v>0</v>
      </c>
      <c r="U718" s="2">
        <v>0</v>
      </c>
      <c r="V718" s="2">
        <v>0</v>
      </c>
      <c r="W718" s="2">
        <v>0</v>
      </c>
      <c r="X718" s="2">
        <v>0</v>
      </c>
      <c r="Y718" s="2">
        <v>0</v>
      </c>
      <c r="Z718" s="2">
        <v>0</v>
      </c>
      <c r="AA718" s="2">
        <v>0</v>
      </c>
      <c r="AB718" s="2">
        <v>0</v>
      </c>
    </row>
    <row r="719" spans="1:28" x14ac:dyDescent="0.2">
      <c r="A719" s="2" t="s">
        <v>1519</v>
      </c>
      <c r="B719" s="2" t="s">
        <v>32</v>
      </c>
      <c r="C719" s="2">
        <v>25</v>
      </c>
      <c r="D719" s="2">
        <v>2</v>
      </c>
      <c r="E719" s="2" t="s">
        <v>575</v>
      </c>
      <c r="F719" s="2" t="s">
        <v>1492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2">
        <v>0</v>
      </c>
      <c r="X719" s="2">
        <v>0</v>
      </c>
      <c r="Y719" s="2">
        <v>0</v>
      </c>
      <c r="Z719" s="2">
        <v>0</v>
      </c>
      <c r="AA719" s="2">
        <v>0</v>
      </c>
      <c r="AB719" s="2">
        <v>0</v>
      </c>
    </row>
    <row r="720" spans="1:28" x14ac:dyDescent="0.2">
      <c r="A720" s="2" t="s">
        <v>1520</v>
      </c>
      <c r="B720" s="2" t="s">
        <v>44</v>
      </c>
      <c r="C720" s="2">
        <v>25</v>
      </c>
      <c r="D720" s="2">
        <v>3</v>
      </c>
      <c r="E720" s="2" t="s">
        <v>155</v>
      </c>
      <c r="F720" s="2" t="s">
        <v>1492</v>
      </c>
      <c r="G720" s="2">
        <v>0</v>
      </c>
      <c r="H720" s="2">
        <v>0</v>
      </c>
      <c r="I720" s="2">
        <v>0</v>
      </c>
      <c r="J720" s="2">
        <v>0</v>
      </c>
      <c r="K720" s="2">
        <v>0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0</v>
      </c>
      <c r="S720" s="2">
        <v>0</v>
      </c>
      <c r="T720" s="2">
        <v>0</v>
      </c>
      <c r="U720" s="2">
        <v>0</v>
      </c>
      <c r="V720" s="2">
        <v>0</v>
      </c>
      <c r="W720" s="2">
        <v>0</v>
      </c>
      <c r="X720" s="2">
        <v>0</v>
      </c>
      <c r="Y720" s="2">
        <v>0</v>
      </c>
      <c r="Z720" s="2">
        <v>0</v>
      </c>
      <c r="AA720" s="2">
        <v>0</v>
      </c>
      <c r="AB720" s="2">
        <v>0</v>
      </c>
    </row>
    <row r="721" spans="1:28" x14ac:dyDescent="0.2">
      <c r="A721" s="2" t="s">
        <v>1521</v>
      </c>
      <c r="B721" s="2" t="s">
        <v>44</v>
      </c>
      <c r="C721" s="2">
        <v>23</v>
      </c>
      <c r="D721" s="2">
        <v>0</v>
      </c>
      <c r="E721" s="2" t="s">
        <v>100</v>
      </c>
      <c r="F721" s="2" t="s">
        <v>1492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2">
        <v>0</v>
      </c>
      <c r="X721" s="2">
        <v>0</v>
      </c>
      <c r="Y721" s="2">
        <v>0</v>
      </c>
      <c r="Z721" s="2">
        <v>0</v>
      </c>
      <c r="AA721" s="2">
        <v>0</v>
      </c>
      <c r="AB721" s="2">
        <v>0</v>
      </c>
    </row>
    <row r="722" spans="1:28" x14ac:dyDescent="0.2">
      <c r="A722" s="2" t="s">
        <v>1522</v>
      </c>
      <c r="B722" s="2" t="s">
        <v>44</v>
      </c>
      <c r="C722" s="2">
        <v>30</v>
      </c>
      <c r="D722" s="2">
        <v>8</v>
      </c>
      <c r="E722" s="2" t="s">
        <v>171</v>
      </c>
      <c r="F722" s="2" t="s">
        <v>1492</v>
      </c>
      <c r="G722" s="2">
        <v>0</v>
      </c>
      <c r="H722" s="2">
        <v>0</v>
      </c>
      <c r="I722" s="2">
        <v>0</v>
      </c>
      <c r="J722" s="2">
        <v>0</v>
      </c>
      <c r="K722" s="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0</v>
      </c>
      <c r="S722" s="2">
        <v>0</v>
      </c>
      <c r="T722" s="2">
        <v>0</v>
      </c>
      <c r="U722" s="2">
        <v>0</v>
      </c>
      <c r="V722" s="2">
        <v>0</v>
      </c>
      <c r="W722" s="2">
        <v>0</v>
      </c>
      <c r="X722" s="2">
        <v>0</v>
      </c>
      <c r="Y722" s="2">
        <v>0</v>
      </c>
      <c r="Z722" s="2">
        <v>0</v>
      </c>
      <c r="AA722" s="2">
        <v>0</v>
      </c>
      <c r="AB722" s="2">
        <v>0</v>
      </c>
    </row>
    <row r="723" spans="1:28" x14ac:dyDescent="0.2">
      <c r="A723" s="2" t="s">
        <v>1523</v>
      </c>
      <c r="B723" s="2" t="s">
        <v>44</v>
      </c>
      <c r="C723" s="2">
        <v>24</v>
      </c>
      <c r="D723" s="2">
        <v>0</v>
      </c>
      <c r="E723" s="2" t="s">
        <v>234</v>
      </c>
      <c r="F723" s="2" t="s">
        <v>1492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0</v>
      </c>
      <c r="S723" s="2">
        <v>0</v>
      </c>
      <c r="T723" s="2">
        <v>0</v>
      </c>
      <c r="U723" s="2">
        <v>0</v>
      </c>
      <c r="V723" s="2">
        <v>0</v>
      </c>
      <c r="W723" s="2">
        <v>0</v>
      </c>
      <c r="X723" s="2">
        <v>0</v>
      </c>
      <c r="Y723" s="2">
        <v>0</v>
      </c>
      <c r="Z723" s="2">
        <v>0</v>
      </c>
      <c r="AA723" s="2">
        <v>0</v>
      </c>
      <c r="AB723" s="2">
        <v>0</v>
      </c>
    </row>
    <row r="724" spans="1:28" x14ac:dyDescent="0.2">
      <c r="A724" s="2" t="s">
        <v>1524</v>
      </c>
      <c r="B724" s="2" t="s">
        <v>44</v>
      </c>
      <c r="C724" s="2">
        <v>26</v>
      </c>
      <c r="D724" s="2">
        <v>2</v>
      </c>
      <c r="E724" s="2" t="s">
        <v>141</v>
      </c>
      <c r="F724" s="2" t="s">
        <v>1492</v>
      </c>
      <c r="G724" s="2">
        <v>0</v>
      </c>
      <c r="H724" s="2">
        <v>0</v>
      </c>
      <c r="I724" s="2">
        <v>0</v>
      </c>
      <c r="J724" s="2">
        <v>0</v>
      </c>
      <c r="K724" s="2">
        <v>0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0</v>
      </c>
      <c r="S724" s="2">
        <v>0</v>
      </c>
      <c r="T724" s="2">
        <v>0</v>
      </c>
      <c r="U724" s="2">
        <v>0</v>
      </c>
      <c r="V724" s="2">
        <v>0</v>
      </c>
      <c r="W724" s="2">
        <v>0</v>
      </c>
      <c r="X724" s="2">
        <v>0</v>
      </c>
      <c r="Y724" s="2">
        <v>0</v>
      </c>
      <c r="Z724" s="2">
        <v>0</v>
      </c>
      <c r="AA724" s="2">
        <v>0</v>
      </c>
      <c r="AB724" s="2">
        <v>0</v>
      </c>
    </row>
    <row r="725" spans="1:28" x14ac:dyDescent="0.2">
      <c r="A725" s="2" t="s">
        <v>1525</v>
      </c>
      <c r="B725" s="2" t="s">
        <v>44</v>
      </c>
      <c r="C725" s="2">
        <v>25</v>
      </c>
      <c r="D725" s="2">
        <v>0</v>
      </c>
      <c r="E725" s="2" t="s">
        <v>213</v>
      </c>
      <c r="F725" s="2" t="s">
        <v>1492</v>
      </c>
      <c r="G725" s="2">
        <v>0</v>
      </c>
      <c r="H725" s="2">
        <v>0</v>
      </c>
      <c r="I725" s="2">
        <v>0</v>
      </c>
      <c r="J725" s="2">
        <v>0</v>
      </c>
      <c r="K725" s="2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0</v>
      </c>
      <c r="S725" s="2">
        <v>0</v>
      </c>
      <c r="T725" s="2">
        <v>0</v>
      </c>
      <c r="U725" s="2">
        <v>0</v>
      </c>
      <c r="V725" s="2">
        <v>0</v>
      </c>
      <c r="W725" s="2">
        <v>0</v>
      </c>
      <c r="X725" s="2">
        <v>0</v>
      </c>
      <c r="Y725" s="2">
        <v>0</v>
      </c>
      <c r="Z725" s="2">
        <v>0</v>
      </c>
      <c r="AA725" s="2">
        <v>0</v>
      </c>
      <c r="AB725" s="2">
        <v>0</v>
      </c>
    </row>
    <row r="726" spans="1:28" x14ac:dyDescent="0.2">
      <c r="A726" s="2" t="s">
        <v>1526</v>
      </c>
      <c r="B726" s="2" t="s">
        <v>44</v>
      </c>
      <c r="C726" s="2">
        <v>26</v>
      </c>
      <c r="D726" s="2">
        <v>5</v>
      </c>
      <c r="E726" s="2" t="s">
        <v>460</v>
      </c>
      <c r="F726" s="2" t="s">
        <v>1492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0</v>
      </c>
      <c r="S726" s="2">
        <v>0</v>
      </c>
      <c r="T726" s="2">
        <v>0</v>
      </c>
      <c r="U726" s="2">
        <v>0</v>
      </c>
      <c r="V726" s="2">
        <v>0</v>
      </c>
      <c r="W726" s="2">
        <v>0</v>
      </c>
      <c r="X726" s="2">
        <v>0</v>
      </c>
      <c r="Y726" s="2">
        <v>0</v>
      </c>
      <c r="Z726" s="2">
        <v>0</v>
      </c>
      <c r="AA726" s="2">
        <v>0</v>
      </c>
      <c r="AB726" s="2">
        <v>0</v>
      </c>
    </row>
    <row r="727" spans="1:28" x14ac:dyDescent="0.2">
      <c r="A727" s="2" t="s">
        <v>1527</v>
      </c>
      <c r="B727" s="2" t="s">
        <v>44</v>
      </c>
      <c r="C727" s="2">
        <v>24</v>
      </c>
      <c r="D727" s="2">
        <v>1</v>
      </c>
      <c r="E727" s="2" t="s">
        <v>163</v>
      </c>
      <c r="F727" s="2" t="s">
        <v>1492</v>
      </c>
      <c r="G727" s="2">
        <v>0</v>
      </c>
      <c r="H727" s="2">
        <v>0</v>
      </c>
      <c r="I727" s="2">
        <v>0</v>
      </c>
      <c r="J727" s="2">
        <v>0</v>
      </c>
      <c r="K727" s="2">
        <v>0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0</v>
      </c>
      <c r="S727" s="2">
        <v>0</v>
      </c>
      <c r="T727" s="2">
        <v>0</v>
      </c>
      <c r="U727" s="2">
        <v>0</v>
      </c>
      <c r="V727" s="2">
        <v>0</v>
      </c>
      <c r="W727" s="2">
        <v>0</v>
      </c>
      <c r="X727" s="2">
        <v>0</v>
      </c>
      <c r="Y727" s="2">
        <v>0</v>
      </c>
      <c r="Z727" s="2">
        <v>0</v>
      </c>
      <c r="AA727" s="2">
        <v>0</v>
      </c>
      <c r="AB727" s="2">
        <v>0</v>
      </c>
    </row>
    <row r="728" spans="1:28" x14ac:dyDescent="0.2">
      <c r="A728" s="2" t="s">
        <v>1528</v>
      </c>
      <c r="B728" s="2" t="s">
        <v>44</v>
      </c>
      <c r="C728" s="2">
        <v>27</v>
      </c>
      <c r="D728" s="2">
        <v>4</v>
      </c>
      <c r="E728" s="2" t="s">
        <v>342</v>
      </c>
      <c r="F728" s="2" t="s">
        <v>1492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s="2">
        <v>0</v>
      </c>
      <c r="W728" s="2">
        <v>0</v>
      </c>
      <c r="X728" s="2">
        <v>0</v>
      </c>
      <c r="Y728" s="2">
        <v>0</v>
      </c>
      <c r="Z728" s="2">
        <v>0</v>
      </c>
      <c r="AA728" s="2">
        <v>0</v>
      </c>
      <c r="AB728" s="2">
        <v>0</v>
      </c>
    </row>
    <row r="729" spans="1:28" x14ac:dyDescent="0.2">
      <c r="A729" s="2" t="s">
        <v>1529</v>
      </c>
      <c r="B729" s="2" t="s">
        <v>44</v>
      </c>
      <c r="C729" s="2">
        <v>30</v>
      </c>
      <c r="D729" s="2">
        <v>8</v>
      </c>
      <c r="E729" s="2" t="s">
        <v>139</v>
      </c>
      <c r="F729" s="2" t="s">
        <v>1492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s="2">
        <v>0</v>
      </c>
      <c r="W729" s="2">
        <v>0</v>
      </c>
      <c r="X729" s="2">
        <v>0</v>
      </c>
      <c r="Y729" s="2">
        <v>0</v>
      </c>
      <c r="Z729" s="2">
        <v>0</v>
      </c>
      <c r="AA729" s="2">
        <v>0</v>
      </c>
      <c r="AB729" s="2">
        <v>0</v>
      </c>
    </row>
    <row r="730" spans="1:28" x14ac:dyDescent="0.2">
      <c r="A730" s="2" t="s">
        <v>1530</v>
      </c>
      <c r="B730" s="2" t="s">
        <v>44</v>
      </c>
      <c r="C730" s="2">
        <v>23</v>
      </c>
      <c r="D730" s="2">
        <v>0</v>
      </c>
      <c r="E730" s="2" t="s">
        <v>215</v>
      </c>
      <c r="F730" s="2" t="s">
        <v>1492</v>
      </c>
      <c r="G730" s="2">
        <v>0</v>
      </c>
      <c r="H730" s="2">
        <v>0</v>
      </c>
      <c r="I730" s="2">
        <v>0</v>
      </c>
      <c r="J730" s="2">
        <v>0</v>
      </c>
      <c r="K730" s="2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s="2">
        <v>0</v>
      </c>
      <c r="W730" s="2">
        <v>0</v>
      </c>
      <c r="X730" s="2">
        <v>0</v>
      </c>
      <c r="Y730" s="2">
        <v>0</v>
      </c>
      <c r="Z730" s="2">
        <v>0</v>
      </c>
      <c r="AA730" s="2">
        <v>0</v>
      </c>
      <c r="AB730" s="2">
        <v>0</v>
      </c>
    </row>
    <row r="731" spans="1:28" x14ac:dyDescent="0.2">
      <c r="A731" s="2" t="s">
        <v>1531</v>
      </c>
      <c r="B731" s="2" t="s">
        <v>39</v>
      </c>
      <c r="C731" s="2">
        <v>28</v>
      </c>
      <c r="D731" s="2">
        <v>4</v>
      </c>
      <c r="E731" s="2" t="s">
        <v>207</v>
      </c>
      <c r="F731" s="2" t="s">
        <v>1492</v>
      </c>
      <c r="G731" s="2">
        <v>0</v>
      </c>
      <c r="H731" s="2">
        <v>0</v>
      </c>
      <c r="I731" s="2">
        <v>0</v>
      </c>
      <c r="J731" s="2">
        <v>0</v>
      </c>
      <c r="K731" s="2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0</v>
      </c>
      <c r="S731" s="2">
        <v>0</v>
      </c>
      <c r="T731" s="2">
        <v>0</v>
      </c>
      <c r="U731" s="2">
        <v>0</v>
      </c>
      <c r="V731" s="2">
        <v>0</v>
      </c>
      <c r="W731" s="2">
        <v>0</v>
      </c>
      <c r="X731" s="2">
        <v>0</v>
      </c>
      <c r="Y731" s="2">
        <v>0</v>
      </c>
      <c r="Z731" s="2">
        <v>0</v>
      </c>
      <c r="AA731" s="2">
        <v>0</v>
      </c>
      <c r="AB731" s="2">
        <v>0</v>
      </c>
    </row>
    <row r="732" spans="1:28" x14ac:dyDescent="0.2">
      <c r="A732" s="2" t="s">
        <v>1532</v>
      </c>
      <c r="B732" s="2" t="s">
        <v>39</v>
      </c>
      <c r="C732" s="2">
        <v>28</v>
      </c>
      <c r="D732" s="2">
        <v>5</v>
      </c>
      <c r="E732" s="2" t="s">
        <v>73</v>
      </c>
      <c r="F732" s="2" t="s">
        <v>1492</v>
      </c>
      <c r="G732" s="2">
        <v>0</v>
      </c>
      <c r="H732" s="2">
        <v>0</v>
      </c>
      <c r="I732" s="2">
        <v>0</v>
      </c>
      <c r="J732" s="2">
        <v>0</v>
      </c>
      <c r="K732" s="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0</v>
      </c>
      <c r="S732" s="2">
        <v>0</v>
      </c>
      <c r="T732" s="2">
        <v>0</v>
      </c>
      <c r="U732" s="2">
        <v>0</v>
      </c>
      <c r="V732" s="2">
        <v>0</v>
      </c>
      <c r="W732" s="2">
        <v>0</v>
      </c>
      <c r="X732" s="2">
        <v>0</v>
      </c>
      <c r="Y732" s="2">
        <v>0</v>
      </c>
      <c r="Z732" s="2">
        <v>0</v>
      </c>
      <c r="AA732" s="2">
        <v>0</v>
      </c>
      <c r="AB732" s="2">
        <v>0</v>
      </c>
    </row>
    <row r="733" spans="1:28" x14ac:dyDescent="0.2">
      <c r="A733" s="2" t="s">
        <v>1533</v>
      </c>
      <c r="B733" s="2" t="s">
        <v>39</v>
      </c>
      <c r="C733" s="2">
        <v>29</v>
      </c>
      <c r="D733" s="2">
        <v>6</v>
      </c>
      <c r="E733" s="2" t="s">
        <v>95</v>
      </c>
      <c r="F733" s="2" t="s">
        <v>1492</v>
      </c>
      <c r="G733" s="2">
        <v>0</v>
      </c>
      <c r="H733" s="2">
        <v>0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0</v>
      </c>
      <c r="S733" s="2">
        <v>0</v>
      </c>
      <c r="T733" s="2">
        <v>0</v>
      </c>
      <c r="U733" s="2">
        <v>0</v>
      </c>
      <c r="V733" s="2">
        <v>0</v>
      </c>
      <c r="W733" s="2">
        <v>0</v>
      </c>
      <c r="X733" s="2">
        <v>0</v>
      </c>
      <c r="Y733" s="2">
        <v>0</v>
      </c>
      <c r="Z733" s="2">
        <v>0</v>
      </c>
      <c r="AA733" s="2">
        <v>0</v>
      </c>
      <c r="AB733" s="2">
        <v>0</v>
      </c>
    </row>
    <row r="734" spans="1:28" x14ac:dyDescent="0.2">
      <c r="A734" s="2" t="s">
        <v>1534</v>
      </c>
      <c r="B734" s="2" t="s">
        <v>39</v>
      </c>
      <c r="C734" s="2">
        <v>23</v>
      </c>
      <c r="D734" s="2">
        <v>0</v>
      </c>
      <c r="E734" s="2" t="s">
        <v>153</v>
      </c>
      <c r="F734" s="2" t="s">
        <v>1492</v>
      </c>
      <c r="G734" s="2">
        <v>0</v>
      </c>
      <c r="H734" s="2">
        <v>0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0</v>
      </c>
      <c r="S734" s="2">
        <v>0</v>
      </c>
      <c r="T734" s="2">
        <v>0</v>
      </c>
      <c r="U734" s="2">
        <v>0</v>
      </c>
      <c r="V734" s="2">
        <v>0</v>
      </c>
      <c r="W734" s="2">
        <v>0</v>
      </c>
      <c r="X734" s="2">
        <v>0</v>
      </c>
      <c r="Y734" s="2">
        <v>0</v>
      </c>
      <c r="Z734" s="2">
        <v>0</v>
      </c>
      <c r="AA734" s="2">
        <v>0</v>
      </c>
      <c r="AB734" s="2">
        <v>0</v>
      </c>
    </row>
    <row r="735" spans="1:28" x14ac:dyDescent="0.2">
      <c r="A735" s="2" t="s">
        <v>1535</v>
      </c>
      <c r="B735" s="2" t="s">
        <v>39</v>
      </c>
      <c r="C735" s="2">
        <v>23</v>
      </c>
      <c r="D735" s="2">
        <v>0</v>
      </c>
      <c r="E735" s="2" t="s">
        <v>69</v>
      </c>
      <c r="F735" s="2" t="s">
        <v>1492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0</v>
      </c>
      <c r="S735" s="2">
        <v>0</v>
      </c>
      <c r="T735" s="2">
        <v>0</v>
      </c>
      <c r="U735" s="2">
        <v>0</v>
      </c>
      <c r="V735" s="2">
        <v>0</v>
      </c>
      <c r="W735" s="2">
        <v>0</v>
      </c>
      <c r="X735" s="2">
        <v>0</v>
      </c>
      <c r="Y735" s="2">
        <v>0</v>
      </c>
      <c r="Z735" s="2">
        <v>0</v>
      </c>
      <c r="AA735" s="2">
        <v>0</v>
      </c>
      <c r="AB735" s="2">
        <v>0</v>
      </c>
    </row>
    <row r="736" spans="1:28" x14ac:dyDescent="0.2">
      <c r="A736" s="2" t="s">
        <v>1557</v>
      </c>
      <c r="B736" s="2" t="s">
        <v>27</v>
      </c>
      <c r="C736" s="2">
        <v>28</v>
      </c>
      <c r="D736" s="2">
        <v>5</v>
      </c>
      <c r="E736" s="2" t="s">
        <v>69</v>
      </c>
      <c r="F736" s="2" t="s">
        <v>1538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0</v>
      </c>
      <c r="V736" s="2">
        <v>0</v>
      </c>
      <c r="W736" s="2">
        <v>0</v>
      </c>
      <c r="X736" s="2">
        <v>0</v>
      </c>
      <c r="Y736" s="2">
        <v>0</v>
      </c>
      <c r="Z736" s="2">
        <v>0</v>
      </c>
      <c r="AA736" s="2">
        <v>0</v>
      </c>
      <c r="AB736" s="2">
        <v>0</v>
      </c>
    </row>
    <row r="737" spans="1:28" x14ac:dyDescent="0.2">
      <c r="A737" s="2" t="s">
        <v>1558</v>
      </c>
      <c r="B737" s="2" t="s">
        <v>27</v>
      </c>
      <c r="C737" s="2">
        <v>25</v>
      </c>
      <c r="D737" s="2">
        <v>2</v>
      </c>
      <c r="E737" s="2" t="s">
        <v>176</v>
      </c>
      <c r="F737" s="2" t="s">
        <v>1538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s="2">
        <v>0</v>
      </c>
      <c r="W737" s="2">
        <v>0</v>
      </c>
      <c r="X737" s="2">
        <v>0</v>
      </c>
      <c r="Y737" s="2">
        <v>0</v>
      </c>
      <c r="Z737" s="2">
        <v>0</v>
      </c>
      <c r="AA737" s="2">
        <v>0</v>
      </c>
      <c r="AB737" s="2">
        <v>0</v>
      </c>
    </row>
    <row r="738" spans="1:28" x14ac:dyDescent="0.2">
      <c r="A738" s="2" t="s">
        <v>1559</v>
      </c>
      <c r="B738" s="2" t="s">
        <v>27</v>
      </c>
      <c r="C738" s="2">
        <v>27</v>
      </c>
      <c r="D738" s="2">
        <v>3</v>
      </c>
      <c r="E738" s="2" t="s">
        <v>90</v>
      </c>
      <c r="F738" s="2" t="s">
        <v>1538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2">
        <v>0</v>
      </c>
      <c r="X738" s="2">
        <v>0</v>
      </c>
      <c r="Y738" s="2">
        <v>0</v>
      </c>
      <c r="Z738" s="2">
        <v>0</v>
      </c>
      <c r="AA738" s="2">
        <v>0</v>
      </c>
      <c r="AB738" s="2">
        <v>0</v>
      </c>
    </row>
    <row r="739" spans="1:28" x14ac:dyDescent="0.2">
      <c r="A739" s="2" t="s">
        <v>1560</v>
      </c>
      <c r="B739" s="2" t="s">
        <v>32</v>
      </c>
      <c r="C739" s="2">
        <v>23</v>
      </c>
      <c r="D739" s="2">
        <v>0</v>
      </c>
      <c r="E739" s="2" t="s">
        <v>106</v>
      </c>
      <c r="F739" s="2" t="s">
        <v>1538</v>
      </c>
      <c r="G739" s="2">
        <v>0</v>
      </c>
      <c r="H739" s="2">
        <v>0</v>
      </c>
      <c r="I739" s="2">
        <v>0</v>
      </c>
      <c r="J739" s="2">
        <v>0</v>
      </c>
      <c r="K739" s="2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s="2">
        <v>0</v>
      </c>
      <c r="W739" s="2">
        <v>0</v>
      </c>
      <c r="X739" s="2">
        <v>0</v>
      </c>
      <c r="Y739" s="2">
        <v>0</v>
      </c>
      <c r="Z739" s="2">
        <v>0</v>
      </c>
      <c r="AA739" s="2">
        <v>0</v>
      </c>
      <c r="AB739" s="2">
        <v>0</v>
      </c>
    </row>
    <row r="740" spans="1:28" x14ac:dyDescent="0.2">
      <c r="A740" s="2" t="s">
        <v>1561</v>
      </c>
      <c r="B740" s="2" t="s">
        <v>32</v>
      </c>
      <c r="C740" s="2">
        <v>27</v>
      </c>
      <c r="D740" s="2">
        <v>6</v>
      </c>
      <c r="E740" s="2" t="s">
        <v>1562</v>
      </c>
      <c r="F740" s="2" t="s">
        <v>1538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>
        <v>0</v>
      </c>
      <c r="U740" s="2">
        <v>0</v>
      </c>
      <c r="V740" s="2">
        <v>0</v>
      </c>
      <c r="W740" s="2">
        <v>0</v>
      </c>
      <c r="X740" s="2">
        <v>0</v>
      </c>
      <c r="Y740" s="2">
        <v>0</v>
      </c>
      <c r="Z740" s="2">
        <v>0</v>
      </c>
      <c r="AA740" s="2">
        <v>0</v>
      </c>
      <c r="AB740" s="2">
        <v>0</v>
      </c>
    </row>
    <row r="741" spans="1:28" x14ac:dyDescent="0.2">
      <c r="A741" s="2" t="s">
        <v>1563</v>
      </c>
      <c r="B741" s="2" t="s">
        <v>32</v>
      </c>
      <c r="C741" s="2">
        <v>27</v>
      </c>
      <c r="D741" s="2">
        <v>4</v>
      </c>
      <c r="E741" s="2" t="s">
        <v>422</v>
      </c>
      <c r="F741" s="2" t="s">
        <v>1538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0</v>
      </c>
      <c r="W741" s="2">
        <v>0</v>
      </c>
      <c r="X741" s="2">
        <v>0</v>
      </c>
      <c r="Y741" s="2">
        <v>0</v>
      </c>
      <c r="Z741" s="2">
        <v>0</v>
      </c>
      <c r="AA741" s="2">
        <v>0</v>
      </c>
      <c r="AB741" s="2">
        <v>0</v>
      </c>
    </row>
    <row r="742" spans="1:28" x14ac:dyDescent="0.2">
      <c r="A742" s="2" t="s">
        <v>1564</v>
      </c>
      <c r="B742" s="2" t="s">
        <v>32</v>
      </c>
      <c r="C742" s="2">
        <v>21</v>
      </c>
      <c r="D742" s="2">
        <v>0</v>
      </c>
      <c r="E742" s="2" t="s">
        <v>1148</v>
      </c>
      <c r="F742" s="2" t="s">
        <v>1538</v>
      </c>
      <c r="G742" s="2">
        <v>0</v>
      </c>
      <c r="H742" s="2">
        <v>0</v>
      </c>
      <c r="I742" s="2">
        <v>0</v>
      </c>
      <c r="J742" s="2">
        <v>0</v>
      </c>
      <c r="K742" s="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2">
        <v>0</v>
      </c>
      <c r="X742" s="2">
        <v>0</v>
      </c>
      <c r="Y742" s="2">
        <v>0</v>
      </c>
      <c r="Z742" s="2">
        <v>0</v>
      </c>
      <c r="AA742" s="2">
        <v>0</v>
      </c>
      <c r="AB742" s="2">
        <v>0</v>
      </c>
    </row>
    <row r="743" spans="1:28" x14ac:dyDescent="0.2">
      <c r="A743" s="2" t="s">
        <v>1565</v>
      </c>
      <c r="B743" s="2" t="s">
        <v>32</v>
      </c>
      <c r="C743" s="2">
        <v>26</v>
      </c>
      <c r="D743" s="2">
        <v>3</v>
      </c>
      <c r="E743" s="2" t="s">
        <v>104</v>
      </c>
      <c r="F743" s="2" t="s">
        <v>1538</v>
      </c>
      <c r="G743" s="2">
        <v>0</v>
      </c>
      <c r="H743" s="2">
        <v>0</v>
      </c>
      <c r="I743" s="2">
        <v>0</v>
      </c>
      <c r="J743" s="2">
        <v>0</v>
      </c>
      <c r="K743" s="2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s="2">
        <v>0</v>
      </c>
      <c r="W743" s="2">
        <v>0</v>
      </c>
      <c r="X743" s="2">
        <v>0</v>
      </c>
      <c r="Y743" s="2">
        <v>0</v>
      </c>
      <c r="Z743" s="2">
        <v>0</v>
      </c>
      <c r="AA743" s="2">
        <v>0</v>
      </c>
      <c r="AB743" s="2">
        <v>0</v>
      </c>
    </row>
    <row r="744" spans="1:28" x14ac:dyDescent="0.2">
      <c r="A744" s="2" t="s">
        <v>1566</v>
      </c>
      <c r="B744" s="2" t="s">
        <v>32</v>
      </c>
      <c r="C744" s="2">
        <v>24</v>
      </c>
      <c r="D744" s="2">
        <v>0</v>
      </c>
      <c r="E744" s="2" t="s">
        <v>155</v>
      </c>
      <c r="F744" s="2" t="s">
        <v>1538</v>
      </c>
      <c r="G744" s="2">
        <v>0</v>
      </c>
      <c r="H744" s="2">
        <v>0</v>
      </c>
      <c r="I744" s="2">
        <v>0</v>
      </c>
      <c r="J744" s="2">
        <v>0</v>
      </c>
      <c r="K744" s="2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0</v>
      </c>
      <c r="S744" s="2">
        <v>0</v>
      </c>
      <c r="T744" s="2">
        <v>0</v>
      </c>
      <c r="U744" s="2">
        <v>0</v>
      </c>
      <c r="V744" s="2">
        <v>0</v>
      </c>
      <c r="W744" s="2">
        <v>0</v>
      </c>
      <c r="X744" s="2">
        <v>0</v>
      </c>
      <c r="Y744" s="2">
        <v>0</v>
      </c>
      <c r="Z744" s="2">
        <v>0</v>
      </c>
      <c r="AA744" s="2">
        <v>0</v>
      </c>
      <c r="AB744" s="2">
        <v>0</v>
      </c>
    </row>
    <row r="745" spans="1:28" x14ac:dyDescent="0.2">
      <c r="A745" s="2" t="s">
        <v>1567</v>
      </c>
      <c r="B745" s="2" t="s">
        <v>44</v>
      </c>
      <c r="C745" s="2">
        <v>23</v>
      </c>
      <c r="D745" s="2">
        <v>0</v>
      </c>
      <c r="E745" s="2" t="s">
        <v>77</v>
      </c>
      <c r="F745" s="2" t="s">
        <v>1538</v>
      </c>
      <c r="G745" s="2">
        <v>0</v>
      </c>
      <c r="H745" s="2">
        <v>0</v>
      </c>
      <c r="I745" s="2">
        <v>0</v>
      </c>
      <c r="J745" s="2">
        <v>0</v>
      </c>
      <c r="K745" s="2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0</v>
      </c>
      <c r="W745" s="2">
        <v>0</v>
      </c>
      <c r="X745" s="2">
        <v>0</v>
      </c>
      <c r="Y745" s="2">
        <v>0</v>
      </c>
      <c r="Z745" s="2">
        <v>0</v>
      </c>
      <c r="AA745" s="2">
        <v>0</v>
      </c>
      <c r="AB745" s="2">
        <v>0</v>
      </c>
    </row>
    <row r="746" spans="1:28" x14ac:dyDescent="0.2">
      <c r="A746" s="2" t="s">
        <v>1568</v>
      </c>
      <c r="B746" s="2" t="s">
        <v>44</v>
      </c>
      <c r="C746" s="2">
        <v>29</v>
      </c>
      <c r="D746" s="2">
        <v>9</v>
      </c>
      <c r="E746" s="2" t="s">
        <v>454</v>
      </c>
      <c r="F746" s="2" t="s">
        <v>1538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s="2">
        <v>0</v>
      </c>
      <c r="W746" s="2">
        <v>0</v>
      </c>
      <c r="X746" s="2">
        <v>0</v>
      </c>
      <c r="Y746" s="2">
        <v>0</v>
      </c>
      <c r="Z746" s="2">
        <v>0</v>
      </c>
      <c r="AA746" s="2">
        <v>0</v>
      </c>
      <c r="AB746" s="2">
        <v>0</v>
      </c>
    </row>
    <row r="747" spans="1:28" x14ac:dyDescent="0.2">
      <c r="A747" s="2" t="s">
        <v>1569</v>
      </c>
      <c r="B747" s="2" t="s">
        <v>44</v>
      </c>
      <c r="C747" s="2">
        <v>27</v>
      </c>
      <c r="D747" s="2">
        <v>5</v>
      </c>
      <c r="E747" s="2" t="s">
        <v>222</v>
      </c>
      <c r="F747" s="2" t="s">
        <v>1538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s="2">
        <v>0</v>
      </c>
      <c r="W747" s="2">
        <v>0</v>
      </c>
      <c r="X747" s="2">
        <v>0</v>
      </c>
      <c r="Y747" s="2">
        <v>0</v>
      </c>
      <c r="Z747" s="2">
        <v>0</v>
      </c>
      <c r="AA747" s="2">
        <v>0</v>
      </c>
      <c r="AB747" s="2">
        <v>0</v>
      </c>
    </row>
    <row r="748" spans="1:28" x14ac:dyDescent="0.2">
      <c r="A748" s="2" t="s">
        <v>1570</v>
      </c>
      <c r="B748" s="2" t="s">
        <v>44</v>
      </c>
      <c r="C748" s="2">
        <v>25</v>
      </c>
      <c r="D748" s="2">
        <v>0</v>
      </c>
      <c r="E748" s="2" t="s">
        <v>515</v>
      </c>
      <c r="F748" s="2" t="s">
        <v>1538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2">
        <v>0</v>
      </c>
      <c r="X748" s="2">
        <v>0</v>
      </c>
      <c r="Y748" s="2">
        <v>0</v>
      </c>
      <c r="Z748" s="2">
        <v>0</v>
      </c>
      <c r="AA748" s="2">
        <v>0</v>
      </c>
      <c r="AB748" s="2">
        <v>0</v>
      </c>
    </row>
    <row r="749" spans="1:28" x14ac:dyDescent="0.2">
      <c r="A749" s="2" t="s">
        <v>1571</v>
      </c>
      <c r="B749" s="2" t="s">
        <v>44</v>
      </c>
      <c r="C749" s="2">
        <v>27</v>
      </c>
      <c r="D749" s="2">
        <v>6</v>
      </c>
      <c r="E749" s="2" t="s">
        <v>340</v>
      </c>
      <c r="F749" s="2" t="s">
        <v>1538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0</v>
      </c>
      <c r="V749" s="2">
        <v>0</v>
      </c>
      <c r="W749" s="2">
        <v>0</v>
      </c>
      <c r="X749" s="2">
        <v>0</v>
      </c>
      <c r="Y749" s="2">
        <v>0</v>
      </c>
      <c r="Z749" s="2">
        <v>0</v>
      </c>
      <c r="AA749" s="2">
        <v>0</v>
      </c>
      <c r="AB749" s="2">
        <v>0</v>
      </c>
    </row>
    <row r="750" spans="1:28" x14ac:dyDescent="0.2">
      <c r="A750" s="2" t="s">
        <v>1572</v>
      </c>
      <c r="B750" s="2" t="s">
        <v>44</v>
      </c>
      <c r="C750" s="2">
        <v>22</v>
      </c>
      <c r="D750" s="2">
        <v>0</v>
      </c>
      <c r="E750" s="2" t="s">
        <v>227</v>
      </c>
      <c r="F750" s="2" t="s">
        <v>1538</v>
      </c>
      <c r="G750" s="2">
        <v>0</v>
      </c>
      <c r="H750" s="2">
        <v>0</v>
      </c>
      <c r="I750" s="2">
        <v>0</v>
      </c>
      <c r="J750" s="2">
        <v>0</v>
      </c>
      <c r="K750" s="2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s="2">
        <v>0</v>
      </c>
      <c r="W750" s="2">
        <v>0</v>
      </c>
      <c r="X750" s="2">
        <v>0</v>
      </c>
      <c r="Y750" s="2">
        <v>0</v>
      </c>
      <c r="Z750" s="2">
        <v>0</v>
      </c>
      <c r="AA750" s="2">
        <v>0</v>
      </c>
      <c r="AB750" s="2">
        <v>0</v>
      </c>
    </row>
    <row r="751" spans="1:28" x14ac:dyDescent="0.2">
      <c r="A751" s="2" t="s">
        <v>1573</v>
      </c>
      <c r="B751" s="2" t="s">
        <v>44</v>
      </c>
      <c r="C751" s="2">
        <v>23</v>
      </c>
      <c r="D751" s="2">
        <v>0</v>
      </c>
      <c r="E751" s="2" t="s">
        <v>1574</v>
      </c>
      <c r="F751" s="2" t="s">
        <v>1538</v>
      </c>
      <c r="G751" s="2">
        <v>0</v>
      </c>
      <c r="H751" s="2">
        <v>0</v>
      </c>
      <c r="I751" s="2">
        <v>0</v>
      </c>
      <c r="J751" s="2">
        <v>0</v>
      </c>
      <c r="K751" s="2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0</v>
      </c>
      <c r="S751" s="2">
        <v>0</v>
      </c>
      <c r="T751" s="2">
        <v>0</v>
      </c>
      <c r="U751" s="2">
        <v>0</v>
      </c>
      <c r="V751" s="2">
        <v>0</v>
      </c>
      <c r="W751" s="2">
        <v>0</v>
      </c>
      <c r="X751" s="2">
        <v>0</v>
      </c>
      <c r="Y751" s="2">
        <v>0</v>
      </c>
      <c r="Z751" s="2">
        <v>0</v>
      </c>
      <c r="AA751" s="2">
        <v>0</v>
      </c>
      <c r="AB751" s="2">
        <v>0</v>
      </c>
    </row>
    <row r="752" spans="1:28" x14ac:dyDescent="0.2">
      <c r="A752" s="2" t="s">
        <v>1575</v>
      </c>
      <c r="B752" s="2" t="s">
        <v>44</v>
      </c>
      <c r="C752" s="2">
        <v>28</v>
      </c>
      <c r="D752" s="2">
        <v>6</v>
      </c>
      <c r="E752" s="2" t="s">
        <v>675</v>
      </c>
      <c r="F752" s="2" t="s">
        <v>1538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s="2">
        <v>0</v>
      </c>
      <c r="W752" s="2">
        <v>0</v>
      </c>
      <c r="X752" s="2">
        <v>0</v>
      </c>
      <c r="Y752" s="2">
        <v>0</v>
      </c>
      <c r="Z752" s="2">
        <v>0</v>
      </c>
      <c r="AA752" s="2">
        <v>0</v>
      </c>
      <c r="AB752" s="2">
        <v>0</v>
      </c>
    </row>
    <row r="753" spans="1:28" x14ac:dyDescent="0.2">
      <c r="A753" s="2" t="s">
        <v>1576</v>
      </c>
      <c r="B753" s="2" t="s">
        <v>44</v>
      </c>
      <c r="C753" s="2">
        <v>22</v>
      </c>
      <c r="D753" s="2">
        <v>0</v>
      </c>
      <c r="E753" s="2" t="s">
        <v>247</v>
      </c>
      <c r="F753" s="2" t="s">
        <v>1538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s="2">
        <v>0</v>
      </c>
      <c r="W753" s="2">
        <v>0</v>
      </c>
      <c r="X753" s="2">
        <v>0</v>
      </c>
      <c r="Y753" s="2">
        <v>0</v>
      </c>
      <c r="Z753" s="2">
        <v>0</v>
      </c>
      <c r="AA753" s="2">
        <v>0</v>
      </c>
      <c r="AB753" s="2">
        <v>0</v>
      </c>
    </row>
    <row r="754" spans="1:28" x14ac:dyDescent="0.2">
      <c r="A754" s="2" t="s">
        <v>1577</v>
      </c>
      <c r="B754" s="2" t="s">
        <v>44</v>
      </c>
      <c r="C754" s="2">
        <v>23</v>
      </c>
      <c r="D754" s="2">
        <v>0</v>
      </c>
      <c r="E754" s="2" t="s">
        <v>88</v>
      </c>
      <c r="F754" s="2" t="s">
        <v>1538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2">
        <v>0</v>
      </c>
      <c r="X754" s="2">
        <v>0</v>
      </c>
      <c r="Y754" s="2">
        <v>0</v>
      </c>
      <c r="Z754" s="2">
        <v>0</v>
      </c>
      <c r="AA754" s="2">
        <v>0</v>
      </c>
      <c r="AB754" s="2">
        <v>0</v>
      </c>
    </row>
    <row r="755" spans="1:28" x14ac:dyDescent="0.2">
      <c r="A755" s="2" t="s">
        <v>1578</v>
      </c>
      <c r="B755" s="2" t="s">
        <v>44</v>
      </c>
      <c r="C755" s="2">
        <v>24</v>
      </c>
      <c r="D755" s="2">
        <v>0</v>
      </c>
      <c r="E755" s="2" t="s">
        <v>560</v>
      </c>
      <c r="F755" s="2" t="s">
        <v>1538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2">
        <v>0</v>
      </c>
      <c r="X755" s="2">
        <v>0</v>
      </c>
      <c r="Y755" s="2">
        <v>0</v>
      </c>
      <c r="Z755" s="2">
        <v>0</v>
      </c>
      <c r="AA755" s="2">
        <v>0</v>
      </c>
      <c r="AB755" s="2">
        <v>0</v>
      </c>
    </row>
    <row r="756" spans="1:28" x14ac:dyDescent="0.2">
      <c r="A756" s="2" t="s">
        <v>1579</v>
      </c>
      <c r="B756" s="2" t="s">
        <v>39</v>
      </c>
      <c r="C756" s="2">
        <v>26</v>
      </c>
      <c r="D756" s="2">
        <v>2</v>
      </c>
      <c r="E756" s="2" t="s">
        <v>424</v>
      </c>
      <c r="F756" s="2" t="s">
        <v>1538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2">
        <v>0</v>
      </c>
      <c r="X756" s="2">
        <v>0</v>
      </c>
      <c r="Y756" s="2">
        <v>0</v>
      </c>
      <c r="Z756" s="2">
        <v>0</v>
      </c>
      <c r="AA756" s="2">
        <v>0</v>
      </c>
      <c r="AB756" s="2">
        <v>0</v>
      </c>
    </row>
    <row r="757" spans="1:28" x14ac:dyDescent="0.2">
      <c r="A757" s="2" t="s">
        <v>1580</v>
      </c>
      <c r="B757" s="2" t="s">
        <v>39</v>
      </c>
      <c r="C757" s="2">
        <v>23</v>
      </c>
      <c r="D757" s="2">
        <v>0</v>
      </c>
      <c r="E757" s="2" t="s">
        <v>63</v>
      </c>
      <c r="F757" s="2" t="s">
        <v>1538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2">
        <v>0</v>
      </c>
      <c r="X757" s="2">
        <v>0</v>
      </c>
      <c r="Y757" s="2">
        <v>0</v>
      </c>
      <c r="Z757" s="2">
        <v>0</v>
      </c>
      <c r="AA757" s="2">
        <v>0</v>
      </c>
      <c r="AB757" s="2">
        <v>0</v>
      </c>
    </row>
    <row r="758" spans="1:28" x14ac:dyDescent="0.2">
      <c r="A758" s="2" t="s">
        <v>1581</v>
      </c>
      <c r="B758" s="2" t="s">
        <v>39</v>
      </c>
      <c r="C758" s="2">
        <v>25</v>
      </c>
      <c r="D758" s="2">
        <v>0</v>
      </c>
      <c r="E758" s="2" t="s">
        <v>220</v>
      </c>
      <c r="F758" s="2" t="s">
        <v>1538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2">
        <v>0</v>
      </c>
      <c r="X758" s="2">
        <v>0</v>
      </c>
      <c r="Y758" s="2">
        <v>0</v>
      </c>
      <c r="Z758" s="2">
        <v>0</v>
      </c>
      <c r="AA758" s="2">
        <v>0</v>
      </c>
      <c r="AB758" s="2">
        <v>0</v>
      </c>
    </row>
    <row r="759" spans="1:28" x14ac:dyDescent="0.2">
      <c r="A759" s="2" t="s">
        <v>1582</v>
      </c>
      <c r="B759" s="2" t="s">
        <v>39</v>
      </c>
      <c r="C759" s="2">
        <v>24</v>
      </c>
      <c r="D759" s="2">
        <v>0</v>
      </c>
      <c r="E759" s="2" t="s">
        <v>85</v>
      </c>
      <c r="F759" s="2" t="s">
        <v>1538</v>
      </c>
      <c r="G759" s="2">
        <v>0</v>
      </c>
      <c r="H759" s="2">
        <v>0</v>
      </c>
      <c r="I759" s="2">
        <v>0</v>
      </c>
      <c r="J759" s="2">
        <v>0</v>
      </c>
      <c r="K759" s="2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0</v>
      </c>
      <c r="S759" s="2">
        <v>0</v>
      </c>
      <c r="T759" s="2">
        <v>0</v>
      </c>
      <c r="U759" s="2">
        <v>0</v>
      </c>
      <c r="V759" s="2">
        <v>0</v>
      </c>
      <c r="W759" s="2">
        <v>0</v>
      </c>
      <c r="X759" s="2">
        <v>0</v>
      </c>
      <c r="Y759" s="2">
        <v>0</v>
      </c>
      <c r="Z759" s="2">
        <v>0</v>
      </c>
      <c r="AA759" s="2">
        <v>0</v>
      </c>
      <c r="AB759" s="2">
        <v>0</v>
      </c>
    </row>
    <row r="760" spans="1:28" x14ac:dyDescent="0.2">
      <c r="A760" s="2" t="s">
        <v>1583</v>
      </c>
      <c r="B760" s="2" t="s">
        <v>39</v>
      </c>
      <c r="C760" s="2">
        <v>24</v>
      </c>
      <c r="D760" s="2">
        <v>0</v>
      </c>
      <c r="E760" s="2" t="s">
        <v>1584</v>
      </c>
      <c r="F760" s="2" t="s">
        <v>1538</v>
      </c>
      <c r="G760" s="2">
        <v>0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0</v>
      </c>
      <c r="V760" s="2">
        <v>0</v>
      </c>
      <c r="W760" s="2">
        <v>0</v>
      </c>
      <c r="X760" s="2">
        <v>0</v>
      </c>
      <c r="Y760" s="2">
        <v>0</v>
      </c>
      <c r="Z760" s="2">
        <v>0</v>
      </c>
      <c r="AA760" s="2">
        <v>0</v>
      </c>
      <c r="AB760" s="2">
        <v>0</v>
      </c>
    </row>
    <row r="761" spans="1:28" x14ac:dyDescent="0.2">
      <c r="A761" s="2" t="s">
        <v>1607</v>
      </c>
      <c r="B761" s="2" t="s">
        <v>27</v>
      </c>
      <c r="C761" s="2">
        <v>24</v>
      </c>
      <c r="D761" s="2">
        <v>0</v>
      </c>
      <c r="E761" s="2" t="s">
        <v>148</v>
      </c>
      <c r="F761" s="2" t="s">
        <v>1587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2">
        <v>0</v>
      </c>
      <c r="X761" s="2">
        <v>0</v>
      </c>
      <c r="Y761" s="2">
        <v>0</v>
      </c>
      <c r="Z761" s="2">
        <v>0</v>
      </c>
      <c r="AA761" s="2">
        <v>0</v>
      </c>
      <c r="AB761" s="2">
        <v>0</v>
      </c>
    </row>
    <row r="762" spans="1:28" x14ac:dyDescent="0.2">
      <c r="A762" s="2" t="s">
        <v>1608</v>
      </c>
      <c r="B762" s="2" t="s">
        <v>27</v>
      </c>
      <c r="C762" s="2">
        <v>34</v>
      </c>
      <c r="D762" s="2">
        <v>12</v>
      </c>
      <c r="E762" s="2" t="s">
        <v>454</v>
      </c>
      <c r="F762" s="2" t="s">
        <v>1587</v>
      </c>
      <c r="G762" s="2">
        <v>0</v>
      </c>
      <c r="H762" s="2">
        <v>0</v>
      </c>
      <c r="I762" s="2">
        <v>0</v>
      </c>
      <c r="J762" s="2">
        <v>0</v>
      </c>
      <c r="K762" s="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2">
        <v>0</v>
      </c>
      <c r="X762" s="2">
        <v>0</v>
      </c>
      <c r="Y762" s="2">
        <v>0</v>
      </c>
      <c r="Z762" s="2">
        <v>0</v>
      </c>
      <c r="AA762" s="2">
        <v>0</v>
      </c>
      <c r="AB762" s="2">
        <v>0</v>
      </c>
    </row>
    <row r="763" spans="1:28" x14ac:dyDescent="0.2">
      <c r="A763" s="2" t="s">
        <v>1609</v>
      </c>
      <c r="B763" s="2" t="s">
        <v>27</v>
      </c>
      <c r="C763" s="2">
        <v>24</v>
      </c>
      <c r="D763" s="2">
        <v>2</v>
      </c>
      <c r="E763" s="2" t="s">
        <v>1192</v>
      </c>
      <c r="F763" s="2" t="s">
        <v>1587</v>
      </c>
      <c r="G763" s="2">
        <v>0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0</v>
      </c>
      <c r="V763" s="2">
        <v>0</v>
      </c>
      <c r="W763" s="2">
        <v>0</v>
      </c>
      <c r="X763" s="2">
        <v>0</v>
      </c>
      <c r="Y763" s="2">
        <v>0</v>
      </c>
      <c r="Z763" s="2">
        <v>0</v>
      </c>
      <c r="AA763" s="2">
        <v>0</v>
      </c>
      <c r="AB763" s="2">
        <v>0</v>
      </c>
    </row>
    <row r="764" spans="1:28" x14ac:dyDescent="0.2">
      <c r="A764" s="2" t="s">
        <v>1610</v>
      </c>
      <c r="B764" s="2" t="s">
        <v>32</v>
      </c>
      <c r="C764" s="2">
        <v>22</v>
      </c>
      <c r="D764" s="2">
        <v>0</v>
      </c>
      <c r="E764" s="2" t="s">
        <v>1611</v>
      </c>
      <c r="F764" s="2" t="s">
        <v>1587</v>
      </c>
      <c r="G764" s="2">
        <v>0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2">
        <v>0</v>
      </c>
      <c r="X764" s="2">
        <v>0</v>
      </c>
      <c r="Y764" s="2">
        <v>0</v>
      </c>
      <c r="Z764" s="2">
        <v>0</v>
      </c>
      <c r="AA764" s="2">
        <v>0</v>
      </c>
      <c r="AB764" s="2">
        <v>0</v>
      </c>
    </row>
    <row r="765" spans="1:28" x14ac:dyDescent="0.2">
      <c r="A765" s="2" t="s">
        <v>1612</v>
      </c>
      <c r="B765" s="2" t="s">
        <v>32</v>
      </c>
      <c r="C765" s="2">
        <v>23</v>
      </c>
      <c r="D765" s="2">
        <v>2</v>
      </c>
      <c r="E765" s="2" t="s">
        <v>100</v>
      </c>
      <c r="F765" s="2" t="s">
        <v>1587</v>
      </c>
      <c r="G765" s="2">
        <v>0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2">
        <v>0</v>
      </c>
      <c r="X765" s="2">
        <v>0</v>
      </c>
      <c r="Y765" s="2">
        <v>0</v>
      </c>
      <c r="Z765" s="2">
        <v>0</v>
      </c>
      <c r="AA765" s="2">
        <v>0</v>
      </c>
      <c r="AB765" s="2">
        <v>0</v>
      </c>
    </row>
    <row r="766" spans="1:28" x14ac:dyDescent="0.2">
      <c r="A766" s="2" t="s">
        <v>1613</v>
      </c>
      <c r="B766" s="2" t="s">
        <v>32</v>
      </c>
      <c r="C766" s="2">
        <v>29</v>
      </c>
      <c r="D766" s="2">
        <v>8</v>
      </c>
      <c r="E766" s="2" t="s">
        <v>153</v>
      </c>
      <c r="F766" s="2" t="s">
        <v>1587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2">
        <v>0</v>
      </c>
      <c r="X766" s="2">
        <v>0</v>
      </c>
      <c r="Y766" s="2">
        <v>0</v>
      </c>
      <c r="Z766" s="2">
        <v>0</v>
      </c>
      <c r="AA766" s="2">
        <v>0</v>
      </c>
      <c r="AB766" s="2">
        <v>0</v>
      </c>
    </row>
    <row r="767" spans="1:28" x14ac:dyDescent="0.2">
      <c r="A767" s="2" t="s">
        <v>1614</v>
      </c>
      <c r="B767" s="2" t="s">
        <v>32</v>
      </c>
      <c r="C767" s="2">
        <v>24</v>
      </c>
      <c r="D767" s="2">
        <v>0</v>
      </c>
      <c r="E767" s="2" t="s">
        <v>133</v>
      </c>
      <c r="F767" s="2" t="s">
        <v>1587</v>
      </c>
      <c r="G767" s="2">
        <v>0</v>
      </c>
      <c r="H767" s="2">
        <v>0</v>
      </c>
      <c r="I767" s="2">
        <v>0</v>
      </c>
      <c r="J767" s="2">
        <v>0</v>
      </c>
      <c r="K767" s="2">
        <v>0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0</v>
      </c>
      <c r="S767" s="2">
        <v>0</v>
      </c>
      <c r="T767" s="2">
        <v>0</v>
      </c>
      <c r="U767" s="2">
        <v>0</v>
      </c>
      <c r="V767" s="2">
        <v>0</v>
      </c>
      <c r="W767" s="2">
        <v>0</v>
      </c>
      <c r="X767" s="2">
        <v>0</v>
      </c>
      <c r="Y767" s="2">
        <v>0</v>
      </c>
      <c r="Z767" s="2">
        <v>0</v>
      </c>
      <c r="AA767" s="2">
        <v>0</v>
      </c>
      <c r="AB767" s="2">
        <v>0</v>
      </c>
    </row>
    <row r="768" spans="1:28" x14ac:dyDescent="0.2">
      <c r="A768" s="2" t="s">
        <v>1615</v>
      </c>
      <c r="B768" s="2" t="s">
        <v>32</v>
      </c>
      <c r="C768" s="2">
        <v>22</v>
      </c>
      <c r="D768" s="2">
        <v>0</v>
      </c>
      <c r="E768" s="2" t="s">
        <v>406</v>
      </c>
      <c r="F768" s="2" t="s">
        <v>1587</v>
      </c>
      <c r="G768" s="2">
        <v>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2">
        <v>0</v>
      </c>
      <c r="X768" s="2">
        <v>0</v>
      </c>
      <c r="Y768" s="2">
        <v>0</v>
      </c>
      <c r="Z768" s="2">
        <v>0</v>
      </c>
      <c r="AA768" s="2">
        <v>0</v>
      </c>
      <c r="AB768" s="2">
        <v>0</v>
      </c>
    </row>
    <row r="769" spans="1:28" x14ac:dyDescent="0.2">
      <c r="A769" s="2" t="s">
        <v>1616</v>
      </c>
      <c r="B769" s="2" t="s">
        <v>32</v>
      </c>
      <c r="C769" s="2">
        <v>25</v>
      </c>
      <c r="D769" s="2">
        <v>4</v>
      </c>
      <c r="E769" s="2" t="s">
        <v>309</v>
      </c>
      <c r="F769" s="2" t="s">
        <v>1587</v>
      </c>
      <c r="G769" s="2">
        <v>0</v>
      </c>
      <c r="H769" s="2">
        <v>0</v>
      </c>
      <c r="I769" s="2">
        <v>0</v>
      </c>
      <c r="J769" s="2">
        <v>0</v>
      </c>
      <c r="K769" s="2">
        <v>0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2">
        <v>0</v>
      </c>
      <c r="X769" s="2">
        <v>0</v>
      </c>
      <c r="Y769" s="2">
        <v>0</v>
      </c>
      <c r="Z769" s="2">
        <v>0</v>
      </c>
      <c r="AA769" s="2">
        <v>0</v>
      </c>
      <c r="AB769" s="2">
        <v>0</v>
      </c>
    </row>
    <row r="770" spans="1:28" x14ac:dyDescent="0.2">
      <c r="A770" s="2" t="s">
        <v>1617</v>
      </c>
      <c r="B770" s="2" t="s">
        <v>44</v>
      </c>
      <c r="C770" s="2">
        <v>23</v>
      </c>
      <c r="D770" s="2">
        <v>2</v>
      </c>
      <c r="E770" s="2" t="s">
        <v>173</v>
      </c>
      <c r="F770" s="2" t="s">
        <v>1587</v>
      </c>
      <c r="G770" s="2">
        <v>0</v>
      </c>
      <c r="H770" s="2">
        <v>0</v>
      </c>
      <c r="I770" s="2">
        <v>0</v>
      </c>
      <c r="J770" s="2">
        <v>0</v>
      </c>
      <c r="K770" s="2">
        <v>0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0</v>
      </c>
      <c r="S770" s="2">
        <v>0</v>
      </c>
      <c r="T770" s="2">
        <v>0</v>
      </c>
      <c r="U770" s="2">
        <v>0</v>
      </c>
      <c r="V770" s="2">
        <v>0</v>
      </c>
      <c r="W770" s="2">
        <v>0</v>
      </c>
      <c r="X770" s="2">
        <v>0</v>
      </c>
      <c r="Y770" s="2">
        <v>0</v>
      </c>
      <c r="Z770" s="2">
        <v>0</v>
      </c>
      <c r="AA770" s="2">
        <v>0</v>
      </c>
      <c r="AB770" s="2">
        <v>0</v>
      </c>
    </row>
    <row r="771" spans="1:28" x14ac:dyDescent="0.2">
      <c r="A771" s="2" t="s">
        <v>1618</v>
      </c>
      <c r="B771" s="2" t="s">
        <v>44</v>
      </c>
      <c r="C771" s="2">
        <v>23</v>
      </c>
      <c r="D771" s="2">
        <v>0</v>
      </c>
      <c r="E771" s="2" t="s">
        <v>227</v>
      </c>
      <c r="F771" s="2" t="s">
        <v>1587</v>
      </c>
      <c r="G771" s="2">
        <v>0</v>
      </c>
      <c r="H771" s="2">
        <v>0</v>
      </c>
      <c r="I771" s="2">
        <v>0</v>
      </c>
      <c r="J771" s="2">
        <v>0</v>
      </c>
      <c r="K771" s="2">
        <v>0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0</v>
      </c>
      <c r="S771" s="2">
        <v>0</v>
      </c>
      <c r="T771" s="2">
        <v>0</v>
      </c>
      <c r="U771" s="2">
        <v>0</v>
      </c>
      <c r="V771" s="2">
        <v>0</v>
      </c>
      <c r="W771" s="2">
        <v>0</v>
      </c>
      <c r="X771" s="2">
        <v>0</v>
      </c>
      <c r="Y771" s="2">
        <v>0</v>
      </c>
      <c r="Z771" s="2">
        <v>0</v>
      </c>
      <c r="AA771" s="2">
        <v>0</v>
      </c>
      <c r="AB771" s="2">
        <v>0</v>
      </c>
    </row>
    <row r="772" spans="1:28" x14ac:dyDescent="0.2">
      <c r="A772" s="2" t="s">
        <v>1619</v>
      </c>
      <c r="B772" s="2" t="s">
        <v>44</v>
      </c>
      <c r="C772" s="2">
        <v>24</v>
      </c>
      <c r="D772" s="2">
        <v>0</v>
      </c>
      <c r="E772" s="2" t="s">
        <v>886</v>
      </c>
      <c r="F772" s="2" t="s">
        <v>1587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2">
        <v>0</v>
      </c>
      <c r="X772" s="2">
        <v>0</v>
      </c>
      <c r="Y772" s="2">
        <v>0</v>
      </c>
      <c r="Z772" s="2">
        <v>0</v>
      </c>
      <c r="AA772" s="2">
        <v>0</v>
      </c>
      <c r="AB772" s="2">
        <v>0</v>
      </c>
    </row>
    <row r="773" spans="1:28" x14ac:dyDescent="0.2">
      <c r="A773" s="2" t="s">
        <v>1620</v>
      </c>
      <c r="B773" s="2" t="s">
        <v>44</v>
      </c>
      <c r="C773" s="2">
        <v>23</v>
      </c>
      <c r="D773" s="2">
        <v>0</v>
      </c>
      <c r="E773" s="2" t="s">
        <v>108</v>
      </c>
      <c r="F773" s="2" t="s">
        <v>1587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2">
        <v>0</v>
      </c>
      <c r="X773" s="2">
        <v>0</v>
      </c>
      <c r="Y773" s="2">
        <v>0</v>
      </c>
      <c r="Z773" s="2">
        <v>0</v>
      </c>
      <c r="AA773" s="2">
        <v>0</v>
      </c>
      <c r="AB773" s="2">
        <v>0</v>
      </c>
    </row>
    <row r="774" spans="1:28" x14ac:dyDescent="0.2">
      <c r="A774" s="2" t="s">
        <v>1621</v>
      </c>
      <c r="B774" s="2" t="s">
        <v>44</v>
      </c>
      <c r="C774" s="2">
        <v>24</v>
      </c>
      <c r="D774" s="2">
        <v>0</v>
      </c>
      <c r="E774" s="2" t="s">
        <v>394</v>
      </c>
      <c r="F774" s="2" t="s">
        <v>1587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0</v>
      </c>
      <c r="S774" s="2">
        <v>0</v>
      </c>
      <c r="T774" s="2">
        <v>0</v>
      </c>
      <c r="U774" s="2">
        <v>0</v>
      </c>
      <c r="V774" s="2">
        <v>0</v>
      </c>
      <c r="W774" s="2">
        <v>0</v>
      </c>
      <c r="X774" s="2">
        <v>0</v>
      </c>
      <c r="Y774" s="2">
        <v>0</v>
      </c>
      <c r="Z774" s="2">
        <v>0</v>
      </c>
      <c r="AA774" s="2">
        <v>0</v>
      </c>
      <c r="AB774" s="2">
        <v>0</v>
      </c>
    </row>
    <row r="775" spans="1:28" x14ac:dyDescent="0.2">
      <c r="A775" s="2" t="s">
        <v>1622</v>
      </c>
      <c r="B775" s="2" t="s">
        <v>44</v>
      </c>
      <c r="C775" s="2">
        <v>23</v>
      </c>
      <c r="D775" s="2">
        <v>0</v>
      </c>
      <c r="E775" s="2" t="s">
        <v>171</v>
      </c>
      <c r="F775" s="2" t="s">
        <v>1587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0</v>
      </c>
      <c r="V775" s="2">
        <v>0</v>
      </c>
      <c r="W775" s="2">
        <v>0</v>
      </c>
      <c r="X775" s="2">
        <v>0</v>
      </c>
      <c r="Y775" s="2">
        <v>0</v>
      </c>
      <c r="Z775" s="2">
        <v>0</v>
      </c>
      <c r="AA775" s="2">
        <v>0</v>
      </c>
      <c r="AB775" s="2">
        <v>0</v>
      </c>
    </row>
    <row r="776" spans="1:28" x14ac:dyDescent="0.2">
      <c r="A776" s="2" t="s">
        <v>1623</v>
      </c>
      <c r="B776" s="2" t="s">
        <v>44</v>
      </c>
      <c r="C776" s="2">
        <v>24</v>
      </c>
      <c r="D776" s="2">
        <v>1</v>
      </c>
      <c r="E776" s="2" t="s">
        <v>1624</v>
      </c>
      <c r="F776" s="2" t="s">
        <v>1587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0</v>
      </c>
      <c r="S776" s="2">
        <v>0</v>
      </c>
      <c r="T776" s="2">
        <v>0</v>
      </c>
      <c r="U776" s="2">
        <v>0</v>
      </c>
      <c r="V776" s="2">
        <v>0</v>
      </c>
      <c r="W776" s="2">
        <v>0</v>
      </c>
      <c r="X776" s="2">
        <v>0</v>
      </c>
      <c r="Y776" s="2">
        <v>0</v>
      </c>
      <c r="Z776" s="2">
        <v>0</v>
      </c>
      <c r="AA776" s="2">
        <v>0</v>
      </c>
      <c r="AB776" s="2">
        <v>0</v>
      </c>
    </row>
    <row r="777" spans="1:28" x14ac:dyDescent="0.2">
      <c r="A777" s="2" t="s">
        <v>1625</v>
      </c>
      <c r="B777" s="2" t="s">
        <v>44</v>
      </c>
      <c r="C777" s="2">
        <v>24</v>
      </c>
      <c r="D777" s="2">
        <v>3</v>
      </c>
      <c r="E777" s="2" t="s">
        <v>222</v>
      </c>
      <c r="F777" s="2" t="s">
        <v>1587</v>
      </c>
      <c r="G777" s="2">
        <v>0</v>
      </c>
      <c r="H777" s="2">
        <v>0</v>
      </c>
      <c r="I777" s="2">
        <v>0</v>
      </c>
      <c r="J777" s="2">
        <v>0</v>
      </c>
      <c r="K777" s="2">
        <v>0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0</v>
      </c>
      <c r="S777" s="2">
        <v>0</v>
      </c>
      <c r="T777" s="2">
        <v>0</v>
      </c>
      <c r="U777" s="2">
        <v>0</v>
      </c>
      <c r="V777" s="2">
        <v>0</v>
      </c>
      <c r="W777" s="2">
        <v>0</v>
      </c>
      <c r="X777" s="2">
        <v>0</v>
      </c>
      <c r="Y777" s="2">
        <v>0</v>
      </c>
      <c r="Z777" s="2">
        <v>0</v>
      </c>
      <c r="AA777" s="2">
        <v>0</v>
      </c>
      <c r="AB777" s="2">
        <v>0</v>
      </c>
    </row>
    <row r="778" spans="1:28" x14ac:dyDescent="0.2">
      <c r="A778" s="2" t="s">
        <v>1626</v>
      </c>
      <c r="B778" s="2" t="s">
        <v>44</v>
      </c>
      <c r="C778" s="2">
        <v>30</v>
      </c>
      <c r="D778" s="2">
        <v>8</v>
      </c>
      <c r="E778" s="2" t="s">
        <v>133</v>
      </c>
      <c r="F778" s="2" t="s">
        <v>1587</v>
      </c>
      <c r="G778" s="2">
        <v>0</v>
      </c>
      <c r="H778" s="2">
        <v>0</v>
      </c>
      <c r="I778" s="2">
        <v>0</v>
      </c>
      <c r="J778" s="2">
        <v>0</v>
      </c>
      <c r="K778" s="2">
        <v>0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0</v>
      </c>
      <c r="S778" s="2">
        <v>0</v>
      </c>
      <c r="T778" s="2">
        <v>0</v>
      </c>
      <c r="U778" s="2">
        <v>0</v>
      </c>
      <c r="V778" s="2">
        <v>0</v>
      </c>
      <c r="W778" s="2">
        <v>0</v>
      </c>
      <c r="X778" s="2">
        <v>0</v>
      </c>
      <c r="Y778" s="2">
        <v>0</v>
      </c>
      <c r="Z778" s="2">
        <v>0</v>
      </c>
      <c r="AA778" s="2">
        <v>0</v>
      </c>
      <c r="AB778" s="2">
        <v>0</v>
      </c>
    </row>
    <row r="779" spans="1:28" x14ac:dyDescent="0.2">
      <c r="A779" s="2" t="s">
        <v>1627</v>
      </c>
      <c r="B779" s="2" t="s">
        <v>44</v>
      </c>
      <c r="C779" s="2">
        <v>24</v>
      </c>
      <c r="D779" s="2">
        <v>2</v>
      </c>
      <c r="E779" s="2" t="s">
        <v>473</v>
      </c>
      <c r="F779" s="2" t="s">
        <v>1587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2">
        <v>0</v>
      </c>
      <c r="X779" s="2">
        <v>0</v>
      </c>
      <c r="Y779" s="2">
        <v>0</v>
      </c>
      <c r="Z779" s="2">
        <v>0</v>
      </c>
      <c r="AA779" s="2">
        <v>0</v>
      </c>
      <c r="AB779" s="2">
        <v>0</v>
      </c>
    </row>
    <row r="780" spans="1:28" x14ac:dyDescent="0.2">
      <c r="A780" s="2" t="s">
        <v>1628</v>
      </c>
      <c r="B780" s="2" t="s">
        <v>44</v>
      </c>
      <c r="C780" s="2">
        <v>24</v>
      </c>
      <c r="D780" s="2">
        <v>1</v>
      </c>
      <c r="E780" s="2" t="s">
        <v>234</v>
      </c>
      <c r="F780" s="2" t="s">
        <v>1587</v>
      </c>
      <c r="G780" s="2">
        <v>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2">
        <v>0</v>
      </c>
      <c r="X780" s="2">
        <v>0</v>
      </c>
      <c r="Y780" s="2">
        <v>0</v>
      </c>
      <c r="Z780" s="2">
        <v>0</v>
      </c>
      <c r="AA780" s="2">
        <v>0</v>
      </c>
      <c r="AB780" s="2">
        <v>0</v>
      </c>
    </row>
    <row r="781" spans="1:28" x14ac:dyDescent="0.2">
      <c r="A781" s="2" t="s">
        <v>1629</v>
      </c>
      <c r="B781" s="2" t="s">
        <v>44</v>
      </c>
      <c r="C781" s="2">
        <v>26</v>
      </c>
      <c r="D781" s="2">
        <v>4</v>
      </c>
      <c r="E781" s="2" t="s">
        <v>361</v>
      </c>
      <c r="F781" s="2" t="s">
        <v>1587</v>
      </c>
      <c r="G781" s="2">
        <v>0</v>
      </c>
      <c r="H781" s="2">
        <v>0</v>
      </c>
      <c r="I781" s="2">
        <v>0</v>
      </c>
      <c r="J781" s="2">
        <v>0</v>
      </c>
      <c r="K781" s="2">
        <v>0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2">
        <v>0</v>
      </c>
      <c r="X781" s="2">
        <v>0</v>
      </c>
      <c r="Y781" s="2">
        <v>0</v>
      </c>
      <c r="Z781" s="2">
        <v>0</v>
      </c>
      <c r="AA781" s="2">
        <v>0</v>
      </c>
      <c r="AB781" s="2">
        <v>0</v>
      </c>
    </row>
    <row r="782" spans="1:28" x14ac:dyDescent="0.2">
      <c r="A782" s="2" t="s">
        <v>1630</v>
      </c>
      <c r="B782" s="2" t="s">
        <v>39</v>
      </c>
      <c r="C782" s="2">
        <v>26</v>
      </c>
      <c r="D782" s="2">
        <v>1</v>
      </c>
      <c r="E782" s="2" t="s">
        <v>363</v>
      </c>
      <c r="F782" s="2" t="s">
        <v>1587</v>
      </c>
      <c r="G782" s="2">
        <v>0</v>
      </c>
      <c r="H782" s="2">
        <v>0</v>
      </c>
      <c r="I782" s="2">
        <v>0</v>
      </c>
      <c r="J782" s="2">
        <v>0</v>
      </c>
      <c r="K782" s="2">
        <v>0</v>
      </c>
      <c r="L782" s="2">
        <v>0</v>
      </c>
      <c r="M782" s="2">
        <v>0</v>
      </c>
      <c r="N782" s="2">
        <v>0</v>
      </c>
      <c r="O782" s="2">
        <v>0</v>
      </c>
      <c r="P782" s="2">
        <v>0</v>
      </c>
      <c r="Q782" s="2">
        <v>0</v>
      </c>
      <c r="R782" s="2">
        <v>0</v>
      </c>
      <c r="S782" s="2">
        <v>0</v>
      </c>
      <c r="T782" s="2">
        <v>0</v>
      </c>
      <c r="U782" s="2">
        <v>0</v>
      </c>
      <c r="V782" s="2">
        <v>0</v>
      </c>
      <c r="W782" s="2">
        <v>0</v>
      </c>
      <c r="X782" s="2">
        <v>0</v>
      </c>
      <c r="Y782" s="2">
        <v>0</v>
      </c>
      <c r="Z782" s="2">
        <v>0</v>
      </c>
      <c r="AA782" s="2">
        <v>0</v>
      </c>
      <c r="AB782" s="2">
        <v>0</v>
      </c>
    </row>
    <row r="783" spans="1:28" x14ac:dyDescent="0.2">
      <c r="A783" s="2" t="s">
        <v>1631</v>
      </c>
      <c r="B783" s="2" t="s">
        <v>39</v>
      </c>
      <c r="C783" s="2">
        <v>26</v>
      </c>
      <c r="D783" s="2">
        <v>1</v>
      </c>
      <c r="E783" s="2" t="s">
        <v>678</v>
      </c>
      <c r="F783" s="2" t="s">
        <v>1587</v>
      </c>
      <c r="G783" s="2">
        <v>0</v>
      </c>
      <c r="H783" s="2">
        <v>0</v>
      </c>
      <c r="I783" s="2">
        <v>0</v>
      </c>
      <c r="J783" s="2">
        <v>0</v>
      </c>
      <c r="K783" s="2">
        <v>0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0</v>
      </c>
      <c r="S783" s="2">
        <v>0</v>
      </c>
      <c r="T783" s="2">
        <v>0</v>
      </c>
      <c r="U783" s="2">
        <v>0</v>
      </c>
      <c r="V783" s="2">
        <v>0</v>
      </c>
      <c r="W783" s="2">
        <v>0</v>
      </c>
      <c r="X783" s="2">
        <v>0</v>
      </c>
      <c r="Y783" s="2">
        <v>0</v>
      </c>
      <c r="Z783" s="2">
        <v>0</v>
      </c>
      <c r="AA783" s="2">
        <v>0</v>
      </c>
      <c r="AB783" s="2">
        <v>0</v>
      </c>
    </row>
    <row r="784" spans="1:28" x14ac:dyDescent="0.2">
      <c r="A784" s="2" t="s">
        <v>1632</v>
      </c>
      <c r="B784" s="2" t="s">
        <v>39</v>
      </c>
      <c r="C784" s="2">
        <v>23</v>
      </c>
      <c r="D784" s="2">
        <v>2</v>
      </c>
      <c r="E784" s="2" t="s">
        <v>227</v>
      </c>
      <c r="F784" s="2" t="s">
        <v>1587</v>
      </c>
      <c r="G784" s="2">
        <v>0</v>
      </c>
      <c r="H784" s="2">
        <v>0</v>
      </c>
      <c r="I784" s="2">
        <v>0</v>
      </c>
      <c r="J784" s="2">
        <v>0</v>
      </c>
      <c r="K784" s="2">
        <v>0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0</v>
      </c>
      <c r="S784" s="2">
        <v>0</v>
      </c>
      <c r="T784" s="2">
        <v>0</v>
      </c>
      <c r="U784" s="2">
        <v>0</v>
      </c>
      <c r="V784" s="2">
        <v>0</v>
      </c>
      <c r="W784" s="2">
        <v>0</v>
      </c>
      <c r="X784" s="2">
        <v>0</v>
      </c>
      <c r="Y784" s="2">
        <v>0</v>
      </c>
      <c r="Z784" s="2">
        <v>0</v>
      </c>
      <c r="AA784" s="2">
        <v>0</v>
      </c>
      <c r="AB784" s="2">
        <v>0</v>
      </c>
    </row>
    <row r="785" spans="1:28" x14ac:dyDescent="0.2">
      <c r="A785" s="2" t="s">
        <v>1633</v>
      </c>
      <c r="B785" s="2" t="s">
        <v>39</v>
      </c>
      <c r="C785" s="2">
        <v>28</v>
      </c>
      <c r="D785" s="2">
        <v>3</v>
      </c>
      <c r="E785" s="2" t="s">
        <v>618</v>
      </c>
      <c r="F785" s="2" t="s">
        <v>1587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0</v>
      </c>
      <c r="N785" s="2">
        <v>0</v>
      </c>
      <c r="O785" s="2">
        <v>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2">
        <v>0</v>
      </c>
      <c r="X785" s="2">
        <v>0</v>
      </c>
      <c r="Y785" s="2">
        <v>0</v>
      </c>
      <c r="Z785" s="2">
        <v>0</v>
      </c>
      <c r="AA785" s="2">
        <v>0</v>
      </c>
      <c r="AB785" s="2">
        <v>0</v>
      </c>
    </row>
    <row r="786" spans="1:28" x14ac:dyDescent="0.2">
      <c r="A786" s="2" t="s">
        <v>1634</v>
      </c>
      <c r="B786" s="2" t="s">
        <v>39</v>
      </c>
      <c r="C786" s="2">
        <v>25</v>
      </c>
      <c r="D786" s="2">
        <v>1</v>
      </c>
      <c r="E786" s="2" t="s">
        <v>148</v>
      </c>
      <c r="F786" s="2" t="s">
        <v>1587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2">
        <v>0</v>
      </c>
      <c r="X786" s="2">
        <v>0</v>
      </c>
      <c r="Y786" s="2">
        <v>0</v>
      </c>
      <c r="Z786" s="2">
        <v>0</v>
      </c>
      <c r="AA786" s="2">
        <v>0</v>
      </c>
      <c r="AB786" s="2">
        <v>0</v>
      </c>
    </row>
    <row r="787" spans="1:28" x14ac:dyDescent="0.2">
      <c r="A787" s="2" t="s">
        <v>1635</v>
      </c>
      <c r="B787" s="2" t="s">
        <v>39</v>
      </c>
      <c r="C787" s="2">
        <v>27</v>
      </c>
      <c r="D787" s="2">
        <v>5</v>
      </c>
      <c r="E787" s="2" t="s">
        <v>345</v>
      </c>
      <c r="F787" s="2" t="s">
        <v>1587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0</v>
      </c>
      <c r="S787" s="2">
        <v>0</v>
      </c>
      <c r="T787" s="2">
        <v>0</v>
      </c>
      <c r="U787" s="2">
        <v>0</v>
      </c>
      <c r="V787" s="2">
        <v>0</v>
      </c>
      <c r="W787" s="2">
        <v>0</v>
      </c>
      <c r="X787" s="2">
        <v>0</v>
      </c>
      <c r="Y787" s="2">
        <v>0</v>
      </c>
      <c r="Z787" s="2">
        <v>0</v>
      </c>
      <c r="AA787" s="2">
        <v>0</v>
      </c>
      <c r="AB787" s="2">
        <v>0</v>
      </c>
    </row>
    <row r="788" spans="1:28" x14ac:dyDescent="0.2">
      <c r="A788" s="1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6"/>
    </row>
    <row r="789" spans="1:28" x14ac:dyDescent="0.2">
      <c r="A789" s="3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5"/>
    </row>
    <row r="790" spans="1:28" x14ac:dyDescent="0.2">
      <c r="A790" s="1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6"/>
    </row>
    <row r="791" spans="1:28" x14ac:dyDescent="0.2">
      <c r="A791" s="1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6"/>
    </row>
    <row r="792" spans="1:28" x14ac:dyDescent="0.2">
      <c r="A792" s="1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6"/>
    </row>
    <row r="793" spans="1:28" x14ac:dyDescent="0.2">
      <c r="A793" s="1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6"/>
    </row>
    <row r="794" spans="1:28" x14ac:dyDescent="0.2">
      <c r="A794" s="1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6"/>
    </row>
    <row r="795" spans="1:28" x14ac:dyDescent="0.2">
      <c r="A795" s="1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6"/>
    </row>
    <row r="796" spans="1:28" x14ac:dyDescent="0.2">
      <c r="A796" s="1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6"/>
    </row>
    <row r="797" spans="1:28" x14ac:dyDescent="0.2">
      <c r="A797" s="1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6"/>
    </row>
    <row r="798" spans="1:28" x14ac:dyDescent="0.2">
      <c r="A798" s="1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6"/>
    </row>
    <row r="799" spans="1:28" x14ac:dyDescent="0.2">
      <c r="A799" s="1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6"/>
    </row>
    <row r="800" spans="1:28" x14ac:dyDescent="0.2">
      <c r="A800" s="1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6"/>
    </row>
    <row r="801" spans="1:28" x14ac:dyDescent="0.2">
      <c r="A801" s="1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6"/>
    </row>
    <row r="802" spans="1:28" x14ac:dyDescent="0.2">
      <c r="A802" s="1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6"/>
    </row>
    <row r="803" spans="1:28" x14ac:dyDescent="0.2">
      <c r="A803" s="1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6"/>
    </row>
    <row r="804" spans="1:28" x14ac:dyDescent="0.2">
      <c r="A804" s="1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6"/>
    </row>
    <row r="805" spans="1:28" x14ac:dyDescent="0.2">
      <c r="A805" s="1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6"/>
    </row>
    <row r="806" spans="1:28" x14ac:dyDescent="0.2">
      <c r="A806" s="1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6"/>
    </row>
    <row r="807" spans="1:28" x14ac:dyDescent="0.2">
      <c r="A807" s="1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6"/>
    </row>
    <row r="808" spans="1:28" x14ac:dyDescent="0.2">
      <c r="A808" s="1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6"/>
    </row>
    <row r="809" spans="1:28" x14ac:dyDescent="0.2">
      <c r="A809" s="1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6"/>
    </row>
    <row r="810" spans="1:28" x14ac:dyDescent="0.2">
      <c r="A810" s="1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6"/>
    </row>
    <row r="811" spans="1:28" x14ac:dyDescent="0.2">
      <c r="A811" s="1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6"/>
    </row>
    <row r="812" spans="1:28" x14ac:dyDescent="0.2">
      <c r="A812" s="1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6"/>
    </row>
    <row r="813" spans="1:28" x14ac:dyDescent="0.2">
      <c r="A813" s="1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6"/>
    </row>
    <row r="814" spans="1:28" x14ac:dyDescent="0.2">
      <c r="A814" s="1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6"/>
    </row>
    <row r="815" spans="1:28" x14ac:dyDescent="0.2">
      <c r="A815" s="1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6"/>
    </row>
    <row r="816" spans="1:28" x14ac:dyDescent="0.2">
      <c r="A816" s="1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6"/>
    </row>
    <row r="817" spans="1:28" x14ac:dyDescent="0.2">
      <c r="A817" s="3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5"/>
    </row>
    <row r="818" spans="1:28" x14ac:dyDescent="0.2">
      <c r="A818" s="3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61"/>
  <sheetViews>
    <sheetView topLeftCell="A4" zoomScale="137" workbookViewId="0">
      <selection activeCell="X40" sqref="X40"/>
    </sheetView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25</v>
      </c>
      <c r="B2" t="s">
        <v>26</v>
      </c>
      <c r="C2" t="s">
        <v>27</v>
      </c>
      <c r="D2">
        <v>4</v>
      </c>
      <c r="E2">
        <v>132</v>
      </c>
      <c r="F2">
        <v>90</v>
      </c>
      <c r="G2">
        <v>780</v>
      </c>
      <c r="H2">
        <v>1</v>
      </c>
      <c r="I2">
        <v>3</v>
      </c>
      <c r="J2">
        <v>14</v>
      </c>
      <c r="K2">
        <v>36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32.799999999999997</v>
      </c>
      <c r="T2">
        <v>0</v>
      </c>
      <c r="U2">
        <v>2.5714285714285698</v>
      </c>
      <c r="W2">
        <v>0.68181818181818199</v>
      </c>
      <c r="X2">
        <v>7.5757575757575803E-3</v>
      </c>
      <c r="Y2">
        <v>35.799999999999997</v>
      </c>
    </row>
    <row r="3" spans="1:25" x14ac:dyDescent="0.2">
      <c r="A3" t="s">
        <v>28</v>
      </c>
      <c r="B3" t="s">
        <v>26</v>
      </c>
      <c r="C3" t="s">
        <v>27</v>
      </c>
      <c r="D3">
        <v>2</v>
      </c>
      <c r="E3">
        <v>58</v>
      </c>
      <c r="F3">
        <v>38</v>
      </c>
      <c r="G3">
        <v>402</v>
      </c>
      <c r="H3">
        <v>2</v>
      </c>
      <c r="I3">
        <v>2</v>
      </c>
      <c r="J3">
        <v>4</v>
      </c>
      <c r="K3">
        <v>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18.579999999999998</v>
      </c>
      <c r="T3">
        <v>0</v>
      </c>
      <c r="U3">
        <v>1.25</v>
      </c>
      <c r="W3">
        <v>0.65517241379310298</v>
      </c>
      <c r="X3">
        <v>3.4482758620689703E-2</v>
      </c>
      <c r="Y3">
        <v>20.58</v>
      </c>
    </row>
    <row r="4" spans="1:25" x14ac:dyDescent="0.2">
      <c r="A4" t="s">
        <v>29</v>
      </c>
      <c r="B4" t="s">
        <v>26</v>
      </c>
      <c r="C4" t="s">
        <v>27</v>
      </c>
      <c r="D4">
        <v>11</v>
      </c>
      <c r="E4">
        <v>390</v>
      </c>
      <c r="F4">
        <v>259</v>
      </c>
      <c r="G4">
        <v>2368</v>
      </c>
      <c r="H4">
        <v>14</v>
      </c>
      <c r="I4">
        <v>7</v>
      </c>
      <c r="J4">
        <v>67</v>
      </c>
      <c r="K4">
        <v>418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4</v>
      </c>
      <c r="S4">
        <v>200.52</v>
      </c>
      <c r="T4">
        <v>0</v>
      </c>
      <c r="U4">
        <v>6.23880597014925</v>
      </c>
      <c r="W4">
        <v>0.66410256410256396</v>
      </c>
      <c r="X4">
        <v>3.5897435897435902E-2</v>
      </c>
      <c r="Y4">
        <v>207.52</v>
      </c>
    </row>
    <row r="5" spans="1:25" x14ac:dyDescent="0.2">
      <c r="A5" t="s">
        <v>30</v>
      </c>
      <c r="B5" t="s">
        <v>26</v>
      </c>
      <c r="C5" t="s">
        <v>27</v>
      </c>
      <c r="D5">
        <v>5</v>
      </c>
      <c r="E5">
        <v>83</v>
      </c>
      <c r="F5">
        <v>45</v>
      </c>
      <c r="G5">
        <v>412</v>
      </c>
      <c r="H5">
        <v>0</v>
      </c>
      <c r="I5">
        <v>5</v>
      </c>
      <c r="J5">
        <v>15</v>
      </c>
      <c r="K5">
        <v>61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8.58</v>
      </c>
      <c r="T5">
        <v>0</v>
      </c>
      <c r="U5">
        <v>4.06666666666667</v>
      </c>
      <c r="W5">
        <v>0.54216867469879504</v>
      </c>
      <c r="X5">
        <v>0</v>
      </c>
      <c r="Y5">
        <v>13.58</v>
      </c>
    </row>
    <row r="6" spans="1:25" x14ac:dyDescent="0.2">
      <c r="A6" t="s">
        <v>31</v>
      </c>
      <c r="B6" t="s">
        <v>26</v>
      </c>
      <c r="C6" t="s">
        <v>32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15</v>
      </c>
      <c r="K6">
        <v>55</v>
      </c>
      <c r="L6">
        <v>1</v>
      </c>
      <c r="M6">
        <v>7</v>
      </c>
      <c r="N6">
        <v>5</v>
      </c>
      <c r="O6">
        <v>54</v>
      </c>
      <c r="P6">
        <v>0</v>
      </c>
      <c r="Q6">
        <v>0</v>
      </c>
      <c r="R6">
        <v>0</v>
      </c>
      <c r="S6">
        <v>21.9</v>
      </c>
      <c r="T6">
        <v>1.0558069381598799E-2</v>
      </c>
      <c r="U6">
        <v>3.6666666666666701</v>
      </c>
      <c r="V6">
        <v>10.8</v>
      </c>
      <c r="Y6">
        <v>19.399999999999999</v>
      </c>
    </row>
    <row r="7" spans="1:25" x14ac:dyDescent="0.2">
      <c r="A7" t="s">
        <v>33</v>
      </c>
      <c r="B7" t="s">
        <v>26</v>
      </c>
      <c r="C7" t="s">
        <v>32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21</v>
      </c>
      <c r="K7">
        <v>102</v>
      </c>
      <c r="L7">
        <v>1</v>
      </c>
      <c r="M7">
        <v>8</v>
      </c>
      <c r="N7">
        <v>4</v>
      </c>
      <c r="O7">
        <v>9</v>
      </c>
      <c r="P7">
        <v>0</v>
      </c>
      <c r="Q7">
        <v>0</v>
      </c>
      <c r="R7">
        <v>0</v>
      </c>
      <c r="S7">
        <v>21.1</v>
      </c>
      <c r="T7">
        <v>1.2066365007541499E-2</v>
      </c>
      <c r="U7">
        <v>4.8571428571428603</v>
      </c>
      <c r="V7">
        <v>2.25</v>
      </c>
      <c r="Y7">
        <v>19.100000000000001</v>
      </c>
    </row>
    <row r="8" spans="1:25" x14ac:dyDescent="0.2">
      <c r="A8" t="s">
        <v>34</v>
      </c>
      <c r="B8" t="s">
        <v>26</v>
      </c>
      <c r="C8" t="s">
        <v>32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70</v>
      </c>
      <c r="K8">
        <v>299</v>
      </c>
      <c r="L8">
        <v>2</v>
      </c>
      <c r="M8">
        <v>33</v>
      </c>
      <c r="N8">
        <v>24</v>
      </c>
      <c r="O8">
        <v>184</v>
      </c>
      <c r="P8">
        <v>0</v>
      </c>
      <c r="Q8">
        <v>0</v>
      </c>
      <c r="R8">
        <v>1</v>
      </c>
      <c r="S8">
        <v>86.3</v>
      </c>
      <c r="T8">
        <v>4.9773755656108601E-2</v>
      </c>
      <c r="U8">
        <v>4.2714285714285696</v>
      </c>
      <c r="V8">
        <v>7.6666666666666696</v>
      </c>
      <c r="Y8">
        <v>74.3</v>
      </c>
    </row>
    <row r="9" spans="1:25" x14ac:dyDescent="0.2">
      <c r="A9" t="s">
        <v>35</v>
      </c>
      <c r="B9" t="s">
        <v>26</v>
      </c>
      <c r="C9" t="s">
        <v>32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183</v>
      </c>
      <c r="K9">
        <v>782</v>
      </c>
      <c r="L9">
        <v>7</v>
      </c>
      <c r="M9">
        <v>58</v>
      </c>
      <c r="N9">
        <v>46</v>
      </c>
      <c r="O9">
        <v>300</v>
      </c>
      <c r="P9">
        <v>1</v>
      </c>
      <c r="Q9">
        <v>1</v>
      </c>
      <c r="R9">
        <v>0</v>
      </c>
      <c r="S9">
        <v>200.2</v>
      </c>
      <c r="T9">
        <v>8.7481146304675697E-2</v>
      </c>
      <c r="U9">
        <v>4.2732240437158504</v>
      </c>
      <c r="V9">
        <v>6.5217391304347796</v>
      </c>
      <c r="Y9">
        <v>177.2</v>
      </c>
    </row>
    <row r="10" spans="1:25" x14ac:dyDescent="0.2">
      <c r="A10" t="s">
        <v>36</v>
      </c>
      <c r="B10" t="s">
        <v>26</v>
      </c>
      <c r="C10" t="s">
        <v>32</v>
      </c>
      <c r="D10">
        <v>10</v>
      </c>
      <c r="E10">
        <v>0</v>
      </c>
      <c r="F10">
        <v>0</v>
      </c>
      <c r="G10">
        <v>0</v>
      </c>
      <c r="H10">
        <v>0</v>
      </c>
      <c r="I10">
        <v>0</v>
      </c>
      <c r="J10">
        <v>27</v>
      </c>
      <c r="K10">
        <v>60</v>
      </c>
      <c r="L10">
        <v>1</v>
      </c>
      <c r="M10">
        <v>5</v>
      </c>
      <c r="N10">
        <v>4</v>
      </c>
      <c r="O10">
        <v>21</v>
      </c>
      <c r="P10">
        <v>0</v>
      </c>
      <c r="Q10">
        <v>0</v>
      </c>
      <c r="R10">
        <v>0</v>
      </c>
      <c r="S10">
        <v>18.100000000000001</v>
      </c>
      <c r="T10">
        <v>7.5414781297134196E-3</v>
      </c>
      <c r="U10">
        <v>2.2222222222222201</v>
      </c>
      <c r="V10">
        <v>5.25</v>
      </c>
      <c r="Y10">
        <v>16.100000000000001</v>
      </c>
    </row>
    <row r="11" spans="1:25" x14ac:dyDescent="0.2">
      <c r="A11" t="s">
        <v>37</v>
      </c>
      <c r="B11" t="s">
        <v>26</v>
      </c>
      <c r="C11" t="s">
        <v>32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5</v>
      </c>
      <c r="P11">
        <v>0</v>
      </c>
      <c r="Q11">
        <v>0</v>
      </c>
      <c r="R11">
        <v>0</v>
      </c>
      <c r="S11">
        <v>1.5</v>
      </c>
      <c r="T11">
        <v>1.5082956259426801E-3</v>
      </c>
      <c r="V11">
        <v>5</v>
      </c>
      <c r="Y11">
        <v>1</v>
      </c>
    </row>
    <row r="12" spans="1:25" x14ac:dyDescent="0.2">
      <c r="A12" t="s">
        <v>38</v>
      </c>
      <c r="B12" t="s">
        <v>26</v>
      </c>
      <c r="C12" t="s">
        <v>39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</v>
      </c>
      <c r="N12">
        <v>3</v>
      </c>
      <c r="O12">
        <v>18</v>
      </c>
      <c r="P12">
        <v>0</v>
      </c>
      <c r="Q12">
        <v>0</v>
      </c>
      <c r="R12">
        <v>0</v>
      </c>
      <c r="S12">
        <v>4.8</v>
      </c>
      <c r="T12">
        <v>4.5248868778280504E-3</v>
      </c>
      <c r="V12">
        <v>6</v>
      </c>
      <c r="Y12">
        <v>3.3</v>
      </c>
    </row>
    <row r="13" spans="1:25" x14ac:dyDescent="0.2">
      <c r="A13" t="s">
        <v>40</v>
      </c>
      <c r="B13" t="s">
        <v>26</v>
      </c>
      <c r="C13" t="s">
        <v>39</v>
      </c>
      <c r="D13">
        <v>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7</v>
      </c>
      <c r="N13">
        <v>3</v>
      </c>
      <c r="O13">
        <v>9</v>
      </c>
      <c r="P13">
        <v>0</v>
      </c>
      <c r="Q13">
        <v>0</v>
      </c>
      <c r="R13">
        <v>0</v>
      </c>
      <c r="S13">
        <v>3.9</v>
      </c>
      <c r="T13">
        <v>1.0558069381598799E-2</v>
      </c>
      <c r="V13">
        <v>3</v>
      </c>
      <c r="Y13">
        <v>2.4</v>
      </c>
    </row>
    <row r="14" spans="1:25" x14ac:dyDescent="0.2">
      <c r="A14" t="s">
        <v>41</v>
      </c>
      <c r="B14" t="s">
        <v>26</v>
      </c>
      <c r="C14" t="s">
        <v>39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39</v>
      </c>
      <c r="N14">
        <v>29</v>
      </c>
      <c r="O14">
        <v>265</v>
      </c>
      <c r="P14">
        <v>1</v>
      </c>
      <c r="Q14">
        <v>0</v>
      </c>
      <c r="R14">
        <v>0</v>
      </c>
      <c r="S14">
        <v>61.5</v>
      </c>
      <c r="T14">
        <v>5.8823529411764698E-2</v>
      </c>
      <c r="V14">
        <v>9.1379310344827598</v>
      </c>
      <c r="Y14">
        <v>47</v>
      </c>
    </row>
    <row r="15" spans="1:25" x14ac:dyDescent="0.2">
      <c r="A15" t="s">
        <v>42</v>
      </c>
      <c r="B15" t="s">
        <v>26</v>
      </c>
      <c r="C15" t="s">
        <v>39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69</v>
      </c>
      <c r="N15">
        <v>47</v>
      </c>
      <c r="O15">
        <v>406</v>
      </c>
      <c r="P15">
        <v>4</v>
      </c>
      <c r="Q15">
        <v>0</v>
      </c>
      <c r="R15">
        <v>0</v>
      </c>
      <c r="S15">
        <v>115.6</v>
      </c>
      <c r="T15">
        <v>0.104072398190045</v>
      </c>
      <c r="V15">
        <v>8.6382978723404307</v>
      </c>
      <c r="Y15">
        <v>88.1</v>
      </c>
    </row>
    <row r="16" spans="1:25" x14ac:dyDescent="0.2">
      <c r="A16" t="s">
        <v>43</v>
      </c>
      <c r="B16" t="s">
        <v>26</v>
      </c>
      <c r="C16" t="s">
        <v>44</v>
      </c>
      <c r="D16">
        <v>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</v>
      </c>
      <c r="N16">
        <v>7</v>
      </c>
      <c r="O16">
        <v>45</v>
      </c>
      <c r="P16">
        <v>0</v>
      </c>
      <c r="Q16">
        <v>0</v>
      </c>
      <c r="R16">
        <v>0</v>
      </c>
      <c r="S16">
        <v>11.5</v>
      </c>
      <c r="T16">
        <v>1.5082956259426799E-2</v>
      </c>
      <c r="V16">
        <v>6.4285714285714297</v>
      </c>
      <c r="Y16">
        <v>8</v>
      </c>
    </row>
    <row r="17" spans="1:25" x14ac:dyDescent="0.2">
      <c r="A17" t="s">
        <v>45</v>
      </c>
      <c r="B17" t="s">
        <v>26</v>
      </c>
      <c r="C17" t="s">
        <v>44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47</v>
      </c>
      <c r="N17">
        <v>24</v>
      </c>
      <c r="O17">
        <v>236</v>
      </c>
      <c r="P17">
        <v>2</v>
      </c>
      <c r="Q17">
        <v>0</v>
      </c>
      <c r="R17">
        <v>0</v>
      </c>
      <c r="S17">
        <v>61.6</v>
      </c>
      <c r="T17">
        <v>7.0889894419306196E-2</v>
      </c>
      <c r="V17">
        <v>9.8333333333333304</v>
      </c>
      <c r="Y17">
        <v>47.6</v>
      </c>
    </row>
    <row r="18" spans="1:25" x14ac:dyDescent="0.2">
      <c r="A18" t="s">
        <v>46</v>
      </c>
      <c r="B18" t="s">
        <v>26</v>
      </c>
      <c r="C18" t="s">
        <v>44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5</v>
      </c>
      <c r="N18">
        <v>2</v>
      </c>
      <c r="O18">
        <v>21</v>
      </c>
      <c r="P18">
        <v>0</v>
      </c>
      <c r="Q18">
        <v>0</v>
      </c>
      <c r="R18">
        <v>0</v>
      </c>
      <c r="S18">
        <v>4.0999999999999996</v>
      </c>
      <c r="T18">
        <v>7.5414781297134196E-3</v>
      </c>
      <c r="V18">
        <v>10.5</v>
      </c>
      <c r="Y18">
        <v>3.1</v>
      </c>
    </row>
    <row r="19" spans="1:25" x14ac:dyDescent="0.2">
      <c r="A19" t="s">
        <v>47</v>
      </c>
      <c r="B19" t="s">
        <v>26</v>
      </c>
      <c r="C19" t="s">
        <v>44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96</v>
      </c>
      <c r="N19">
        <v>64</v>
      </c>
      <c r="O19">
        <v>717</v>
      </c>
      <c r="P19">
        <v>3</v>
      </c>
      <c r="Q19">
        <v>0</v>
      </c>
      <c r="R19">
        <v>0</v>
      </c>
      <c r="S19">
        <v>151.69999999999999</v>
      </c>
      <c r="T19">
        <v>0.144796380090498</v>
      </c>
      <c r="V19">
        <v>11.203125</v>
      </c>
      <c r="Y19">
        <v>121.7</v>
      </c>
    </row>
    <row r="20" spans="1:25" x14ac:dyDescent="0.2">
      <c r="A20" t="s">
        <v>48</v>
      </c>
      <c r="B20" t="s">
        <v>26</v>
      </c>
      <c r="C20" t="s">
        <v>44</v>
      </c>
      <c r="D20">
        <v>11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44</v>
      </c>
      <c r="L20">
        <v>0</v>
      </c>
      <c r="M20">
        <v>64</v>
      </c>
      <c r="N20">
        <v>52</v>
      </c>
      <c r="O20">
        <v>467</v>
      </c>
      <c r="P20">
        <v>2</v>
      </c>
      <c r="Q20">
        <v>0</v>
      </c>
      <c r="R20">
        <v>0</v>
      </c>
      <c r="S20">
        <v>115.1</v>
      </c>
      <c r="T20">
        <v>9.6530920060331801E-2</v>
      </c>
      <c r="U20">
        <v>6.28571428571429</v>
      </c>
      <c r="V20">
        <v>8.9807692307692299</v>
      </c>
      <c r="Y20">
        <v>89.1</v>
      </c>
    </row>
    <row r="21" spans="1:25" x14ac:dyDescent="0.2">
      <c r="A21" t="s">
        <v>49</v>
      </c>
      <c r="B21" t="s">
        <v>26</v>
      </c>
      <c r="C21" t="s">
        <v>44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1</v>
      </c>
      <c r="L21">
        <v>0</v>
      </c>
      <c r="M21">
        <v>107</v>
      </c>
      <c r="N21">
        <v>67</v>
      </c>
      <c r="O21">
        <v>709</v>
      </c>
      <c r="P21">
        <v>3</v>
      </c>
      <c r="Q21">
        <v>0</v>
      </c>
      <c r="R21">
        <v>0</v>
      </c>
      <c r="S21">
        <v>156</v>
      </c>
      <c r="T21">
        <v>0.161387631975867</v>
      </c>
      <c r="U21">
        <v>1</v>
      </c>
      <c r="V21">
        <v>10.5820895522388</v>
      </c>
      <c r="Y21">
        <v>122.5</v>
      </c>
    </row>
    <row r="22" spans="1:25" x14ac:dyDescent="0.2">
      <c r="A22" t="s">
        <v>50</v>
      </c>
      <c r="B22" t="s">
        <v>26</v>
      </c>
      <c r="C22" t="s">
        <v>44</v>
      </c>
      <c r="D22">
        <v>2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15</v>
      </c>
      <c r="L22">
        <v>0</v>
      </c>
      <c r="M22">
        <v>2</v>
      </c>
      <c r="N22">
        <v>2</v>
      </c>
      <c r="O22">
        <v>6</v>
      </c>
      <c r="P22">
        <v>0</v>
      </c>
      <c r="Q22">
        <v>0</v>
      </c>
      <c r="R22">
        <v>0</v>
      </c>
      <c r="S22">
        <v>4.0999999999999996</v>
      </c>
      <c r="T22">
        <v>3.0165912518853701E-3</v>
      </c>
      <c r="U22">
        <v>3.75</v>
      </c>
      <c r="V22">
        <v>3</v>
      </c>
      <c r="Y22">
        <v>3.1</v>
      </c>
    </row>
    <row r="23" spans="1:25" x14ac:dyDescent="0.2">
      <c r="A23" t="s">
        <v>51</v>
      </c>
      <c r="B23" t="s">
        <v>26</v>
      </c>
      <c r="C23" t="s">
        <v>44</v>
      </c>
      <c r="D23">
        <v>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17</v>
      </c>
      <c r="N23">
        <v>7</v>
      </c>
      <c r="O23">
        <v>76</v>
      </c>
      <c r="P23">
        <v>0</v>
      </c>
      <c r="Q23">
        <v>0</v>
      </c>
      <c r="R23">
        <v>0</v>
      </c>
      <c r="S23">
        <v>14.6</v>
      </c>
      <c r="T23">
        <v>2.5641025641025599E-2</v>
      </c>
      <c r="V23">
        <v>10.8571428571429</v>
      </c>
      <c r="Y23">
        <v>11.1</v>
      </c>
    </row>
    <row r="24" spans="1:25" x14ac:dyDescent="0.2">
      <c r="A24" t="s">
        <v>52</v>
      </c>
      <c r="B24" t="s">
        <v>26</v>
      </c>
      <c r="C24" t="s">
        <v>44</v>
      </c>
      <c r="D24">
        <v>8</v>
      </c>
      <c r="E24">
        <v>0</v>
      </c>
      <c r="F24">
        <v>0</v>
      </c>
      <c r="G24">
        <v>0</v>
      </c>
      <c r="H24">
        <v>0</v>
      </c>
      <c r="I24">
        <v>0</v>
      </c>
      <c r="J24">
        <v>6</v>
      </c>
      <c r="K24">
        <v>-5</v>
      </c>
      <c r="L24">
        <v>0</v>
      </c>
      <c r="M24">
        <v>56</v>
      </c>
      <c r="N24">
        <v>41</v>
      </c>
      <c r="O24">
        <v>414</v>
      </c>
      <c r="P24">
        <v>1</v>
      </c>
      <c r="Q24">
        <v>0</v>
      </c>
      <c r="R24">
        <v>0</v>
      </c>
      <c r="S24">
        <v>87.9</v>
      </c>
      <c r="T24">
        <v>8.4464555052790394E-2</v>
      </c>
      <c r="U24">
        <v>-0.83333333333333304</v>
      </c>
      <c r="V24">
        <v>10.097560975609801</v>
      </c>
      <c r="Y24">
        <v>67.400000000000006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26</v>
      </c>
      <c r="B31">
        <v>5835</v>
      </c>
      <c r="C31">
        <v>3962</v>
      </c>
      <c r="D31">
        <v>434</v>
      </c>
      <c r="E31">
        <v>1873</v>
      </c>
      <c r="F31">
        <v>15</v>
      </c>
      <c r="G31">
        <v>1401.98</v>
      </c>
      <c r="H31">
        <v>663</v>
      </c>
      <c r="I31">
        <v>0.65158371040723995</v>
      </c>
      <c r="J31">
        <v>17</v>
      </c>
      <c r="K31">
        <v>17</v>
      </c>
      <c r="L31">
        <v>6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  <c r="W32" t="s">
        <v>1656</v>
      </c>
      <c r="X32" t="s">
        <v>1657</v>
      </c>
    </row>
    <row r="33" spans="1:28" x14ac:dyDescent="0.2">
      <c r="A33" t="s">
        <v>56</v>
      </c>
      <c r="C33">
        <f>SUM(Table6[p_att])</f>
        <v>450</v>
      </c>
      <c r="D33">
        <f>SUM(Table6[car])</f>
        <v>67</v>
      </c>
      <c r="E33">
        <f>SUM(Table6[r_yd])</f>
        <v>250</v>
      </c>
      <c r="F33">
        <f>SUM(Table6[r_td])</f>
        <v>0</v>
      </c>
      <c r="G33" t="s">
        <v>56</v>
      </c>
      <c r="H33">
        <f>SUM(Table6[p_att])</f>
        <v>450</v>
      </c>
      <c r="I33">
        <f>SUM(Table6[cmp])/Table5[[#This Row],[p_att]]</f>
        <v>0.66666666666666663</v>
      </c>
      <c r="J33">
        <f>SUM(Table6[p_td])</f>
        <v>20</v>
      </c>
      <c r="K33">
        <f>SUM(Table6[int])</f>
        <v>8</v>
      </c>
      <c r="L33">
        <f>SUM(Table6[fmb])</f>
        <v>0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62</v>
      </c>
      <c r="B36" t="s">
        <v>27</v>
      </c>
      <c r="C36">
        <v>27</v>
      </c>
      <c r="D36">
        <v>4</v>
      </c>
      <c r="E36" t="s">
        <v>63</v>
      </c>
      <c r="F36" t="s">
        <v>26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f>$P36/SUM(Table6[tgt])</f>
        <v>9.0909090909090912E-2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64</v>
      </c>
      <c r="B37" t="s">
        <v>27</v>
      </c>
      <c r="C37">
        <v>30</v>
      </c>
      <c r="D37">
        <v>8</v>
      </c>
      <c r="E37" t="s">
        <v>65</v>
      </c>
      <c r="F37" t="s">
        <v>26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f>$P37/SUM(Table6[tgt])</f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66</v>
      </c>
      <c r="B38" t="s">
        <v>27</v>
      </c>
      <c r="C38">
        <v>36</v>
      </c>
      <c r="D38">
        <v>14</v>
      </c>
      <c r="E38" t="s">
        <v>67</v>
      </c>
      <c r="F38" t="s">
        <v>26</v>
      </c>
      <c r="G38">
        <v>13</v>
      </c>
      <c r="H38">
        <v>450</v>
      </c>
      <c r="I38">
        <v>300</v>
      </c>
      <c r="J38">
        <v>3500</v>
      </c>
      <c r="K38">
        <v>20</v>
      </c>
      <c r="L38">
        <v>8</v>
      </c>
      <c r="M38">
        <v>67</v>
      </c>
      <c r="N38">
        <v>250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f>$P38/SUM(Table6[tgt])</f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68</v>
      </c>
      <c r="B39" t="s">
        <v>27</v>
      </c>
      <c r="C39">
        <v>25</v>
      </c>
      <c r="D39">
        <v>5</v>
      </c>
      <c r="E39" t="s">
        <v>69</v>
      </c>
      <c r="F39" t="s">
        <v>26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100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f>$P39/SUM(Table6[tgt])</f>
        <v>0.90909090909090906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70</v>
      </c>
      <c r="B40" t="s">
        <v>27</v>
      </c>
      <c r="C40">
        <v>24</v>
      </c>
      <c r="D40">
        <v>0</v>
      </c>
      <c r="E40" t="s">
        <v>71</v>
      </c>
      <c r="F40" t="s">
        <v>26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f>$P40/SUM(Table6[tgt])</f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72</v>
      </c>
      <c r="B41" t="s">
        <v>32</v>
      </c>
      <c r="C41">
        <v>28</v>
      </c>
      <c r="D41">
        <v>7</v>
      </c>
      <c r="E41" t="s">
        <v>73</v>
      </c>
      <c r="F41" t="s">
        <v>26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f>$P41/SUM(Table6[tgt])</f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74</v>
      </c>
      <c r="B42" t="s">
        <v>32</v>
      </c>
      <c r="C42">
        <v>28</v>
      </c>
      <c r="D42">
        <v>7</v>
      </c>
      <c r="E42" t="s">
        <v>75</v>
      </c>
      <c r="F42" t="s">
        <v>26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f>$P42/SUM(Table6[tgt])</f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76</v>
      </c>
      <c r="B43" t="s">
        <v>32</v>
      </c>
      <c r="C43">
        <v>24</v>
      </c>
      <c r="D43">
        <v>0</v>
      </c>
      <c r="E43" t="s">
        <v>77</v>
      </c>
      <c r="F43" t="s">
        <v>26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f>$P43/SUM(Table6[tgt])</f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78</v>
      </c>
      <c r="B44" t="s">
        <v>32</v>
      </c>
      <c r="C44">
        <v>23</v>
      </c>
      <c r="D44">
        <v>2</v>
      </c>
      <c r="E44" t="s">
        <v>79</v>
      </c>
      <c r="F44" t="s">
        <v>26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f>$P44/SUM(Table6[tgt])</f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80</v>
      </c>
      <c r="B45" t="s">
        <v>32</v>
      </c>
      <c r="C45">
        <v>26</v>
      </c>
      <c r="D45">
        <v>2</v>
      </c>
      <c r="E45" t="s">
        <v>81</v>
      </c>
      <c r="F45" t="s">
        <v>26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f>$P45/SUM(Table6[tgt])</f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82</v>
      </c>
      <c r="B46" t="s">
        <v>44</v>
      </c>
      <c r="C46">
        <v>24</v>
      </c>
      <c r="D46">
        <v>0</v>
      </c>
      <c r="E46" t="s">
        <v>83</v>
      </c>
      <c r="F46" t="s">
        <v>26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f>$P46/SUM(Table6[tgt])</f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84</v>
      </c>
      <c r="B47" t="s">
        <v>44</v>
      </c>
      <c r="C47">
        <v>26</v>
      </c>
      <c r="D47">
        <v>2</v>
      </c>
      <c r="E47" t="s">
        <v>85</v>
      </c>
      <c r="F47" t="s">
        <v>26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f>$P47/SUM(Table6[tgt])</f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86</v>
      </c>
      <c r="B48" t="s">
        <v>44</v>
      </c>
      <c r="C48">
        <v>26</v>
      </c>
      <c r="D48">
        <v>5</v>
      </c>
      <c r="E48" t="s">
        <v>69</v>
      </c>
      <c r="F48" t="s">
        <v>26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f>$P48/SUM(Table6[tgt])</f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87</v>
      </c>
      <c r="B49" t="s">
        <v>44</v>
      </c>
      <c r="C49">
        <v>23</v>
      </c>
      <c r="D49">
        <v>0</v>
      </c>
      <c r="E49" t="s">
        <v>88</v>
      </c>
      <c r="F49" t="s">
        <v>26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f>$P49/SUM(Table6[tgt])</f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89</v>
      </c>
      <c r="B50" t="s">
        <v>44</v>
      </c>
      <c r="C50">
        <v>25</v>
      </c>
      <c r="D50">
        <v>3</v>
      </c>
      <c r="E50" t="s">
        <v>90</v>
      </c>
      <c r="F50" t="s">
        <v>26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f>$P50/SUM(Table6[tgt])</f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91</v>
      </c>
      <c r="B51" t="s">
        <v>44</v>
      </c>
      <c r="C51">
        <v>23</v>
      </c>
      <c r="D51">
        <v>3</v>
      </c>
      <c r="E51" t="s">
        <v>63</v>
      </c>
      <c r="F51" t="s">
        <v>26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f>$P51/SUM(Table6[tgt])</f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92</v>
      </c>
      <c r="B52" t="s">
        <v>44</v>
      </c>
      <c r="C52">
        <v>28</v>
      </c>
      <c r="D52">
        <v>6</v>
      </c>
      <c r="E52" t="s">
        <v>93</v>
      </c>
      <c r="F52" t="s">
        <v>26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f>$P52/SUM(Table6[tgt])</f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94</v>
      </c>
      <c r="B53" t="s">
        <v>44</v>
      </c>
      <c r="C53">
        <v>24</v>
      </c>
      <c r="D53">
        <v>1</v>
      </c>
      <c r="E53" t="s">
        <v>95</v>
      </c>
      <c r="F53" t="s">
        <v>26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f>$P53/SUM(Table6[tgt])</f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96</v>
      </c>
      <c r="B54" t="s">
        <v>44</v>
      </c>
      <c r="C54">
        <v>23</v>
      </c>
      <c r="D54">
        <v>0</v>
      </c>
      <c r="E54" t="s">
        <v>97</v>
      </c>
      <c r="F54" t="s">
        <v>26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f>$P54/SUM(Table6[tgt])</f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98</v>
      </c>
      <c r="B55" t="s">
        <v>39</v>
      </c>
      <c r="C55">
        <v>32</v>
      </c>
      <c r="D55">
        <v>11</v>
      </c>
      <c r="E55" t="s">
        <v>97</v>
      </c>
      <c r="F55" t="s">
        <v>26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f>$P55/SUM(Table6[tgt])</f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99</v>
      </c>
      <c r="B56" t="s">
        <v>39</v>
      </c>
      <c r="C56">
        <v>25</v>
      </c>
      <c r="D56">
        <v>0</v>
      </c>
      <c r="E56" t="s">
        <v>100</v>
      </c>
      <c r="F56" t="s">
        <v>26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f>$P56/SUM(Table6[tgt])</f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101</v>
      </c>
      <c r="B57" t="s">
        <v>39</v>
      </c>
      <c r="C57">
        <v>23</v>
      </c>
      <c r="D57">
        <v>2</v>
      </c>
      <c r="E57" t="s">
        <v>102</v>
      </c>
      <c r="F57" t="s">
        <v>26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f>$P57/SUM(Table6[tgt])</f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103</v>
      </c>
      <c r="B58" t="s">
        <v>39</v>
      </c>
      <c r="C58">
        <v>24</v>
      </c>
      <c r="D58">
        <v>1</v>
      </c>
      <c r="E58" t="s">
        <v>104</v>
      </c>
      <c r="F58" t="s">
        <v>26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f>$P58/SUM(Table6[tgt])</f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105</v>
      </c>
      <c r="B59" t="s">
        <v>39</v>
      </c>
      <c r="C59">
        <v>25</v>
      </c>
      <c r="D59">
        <v>1</v>
      </c>
      <c r="E59" t="s">
        <v>106</v>
      </c>
      <c r="F59" t="s">
        <v>26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f>$P59/SUM(Table6[tgt])</f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107</v>
      </c>
      <c r="B60" t="s">
        <v>39</v>
      </c>
      <c r="C60">
        <v>26</v>
      </c>
      <c r="D60">
        <v>2</v>
      </c>
      <c r="E60" t="s">
        <v>108</v>
      </c>
      <c r="F60" t="s">
        <v>26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f>$P60/SUM(Table6[tgt])</f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109</v>
      </c>
      <c r="B61" t="s">
        <v>39</v>
      </c>
      <c r="C61">
        <v>23</v>
      </c>
      <c r="D61">
        <v>0</v>
      </c>
      <c r="E61" t="s">
        <v>90</v>
      </c>
      <c r="F61" t="s">
        <v>26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f>$P61/SUM(Table6[tgt])</f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B63"/>
  <sheetViews>
    <sheetView topLeftCell="A12" workbookViewId="0">
      <selection activeCell="W36" sqref="W36"/>
    </sheetView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110</v>
      </c>
      <c r="B2" t="s">
        <v>111</v>
      </c>
      <c r="C2" t="s">
        <v>112</v>
      </c>
      <c r="D2">
        <v>2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2</v>
      </c>
      <c r="L2">
        <v>0</v>
      </c>
      <c r="M2">
        <v>2</v>
      </c>
      <c r="N2">
        <v>1</v>
      </c>
      <c r="O2">
        <v>8</v>
      </c>
      <c r="P2">
        <v>0</v>
      </c>
      <c r="Q2">
        <v>0</v>
      </c>
      <c r="R2">
        <v>0</v>
      </c>
      <c r="S2">
        <v>2</v>
      </c>
      <c r="T2">
        <v>3.0165912518853701E-3</v>
      </c>
      <c r="U2">
        <v>2</v>
      </c>
      <c r="V2">
        <v>8</v>
      </c>
      <c r="Y2">
        <v>1.5</v>
      </c>
    </row>
    <row r="3" spans="1:25" x14ac:dyDescent="0.2">
      <c r="A3" t="s">
        <v>113</v>
      </c>
      <c r="B3" t="s">
        <v>111</v>
      </c>
      <c r="C3" t="s">
        <v>27</v>
      </c>
      <c r="D3">
        <v>4</v>
      </c>
      <c r="E3">
        <v>115</v>
      </c>
      <c r="F3">
        <v>73</v>
      </c>
      <c r="G3">
        <v>708</v>
      </c>
      <c r="H3">
        <v>2</v>
      </c>
      <c r="I3">
        <v>0</v>
      </c>
      <c r="J3">
        <v>16</v>
      </c>
      <c r="K3">
        <v>64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38.72</v>
      </c>
      <c r="T3">
        <v>0</v>
      </c>
      <c r="U3">
        <v>4</v>
      </c>
      <c r="W3">
        <v>0.63478260869565195</v>
      </c>
      <c r="X3">
        <v>1.7391304347826101E-2</v>
      </c>
      <c r="Y3">
        <v>38.72</v>
      </c>
    </row>
    <row r="4" spans="1:25" x14ac:dyDescent="0.2">
      <c r="A4" t="s">
        <v>114</v>
      </c>
      <c r="B4" t="s">
        <v>111</v>
      </c>
      <c r="C4" t="s">
        <v>27</v>
      </c>
      <c r="D4">
        <v>13</v>
      </c>
      <c r="E4">
        <v>300</v>
      </c>
      <c r="F4">
        <v>184</v>
      </c>
      <c r="G4">
        <v>2219</v>
      </c>
      <c r="H4">
        <v>15</v>
      </c>
      <c r="I4">
        <v>9</v>
      </c>
      <c r="J4">
        <v>85</v>
      </c>
      <c r="K4">
        <v>438</v>
      </c>
      <c r="L4">
        <v>4</v>
      </c>
      <c r="M4">
        <v>0</v>
      </c>
      <c r="N4">
        <v>0</v>
      </c>
      <c r="O4">
        <v>0</v>
      </c>
      <c r="P4">
        <v>0</v>
      </c>
      <c r="Q4">
        <v>3</v>
      </c>
      <c r="R4">
        <v>2</v>
      </c>
      <c r="S4">
        <v>196.56</v>
      </c>
      <c r="T4">
        <v>0</v>
      </c>
      <c r="U4">
        <v>5.1529411764705904</v>
      </c>
      <c r="W4">
        <v>0.61333333333333295</v>
      </c>
      <c r="X4">
        <v>0.05</v>
      </c>
      <c r="Y4">
        <v>205.56</v>
      </c>
    </row>
    <row r="5" spans="1:25" x14ac:dyDescent="0.2">
      <c r="A5" t="s">
        <v>115</v>
      </c>
      <c r="B5" t="s">
        <v>111</v>
      </c>
      <c r="C5" t="s">
        <v>32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22</v>
      </c>
      <c r="K5">
        <v>109</v>
      </c>
      <c r="L5">
        <v>1</v>
      </c>
      <c r="M5">
        <v>14</v>
      </c>
      <c r="N5">
        <v>13</v>
      </c>
      <c r="O5">
        <v>61</v>
      </c>
      <c r="P5">
        <v>0</v>
      </c>
      <c r="Q5">
        <v>0</v>
      </c>
      <c r="R5">
        <v>0</v>
      </c>
      <c r="S5">
        <v>36</v>
      </c>
      <c r="T5">
        <v>2.1116138763197598E-2</v>
      </c>
      <c r="U5">
        <v>4.9545454545454497</v>
      </c>
      <c r="V5">
        <v>4.6923076923076898</v>
      </c>
      <c r="Y5">
        <v>29.5</v>
      </c>
    </row>
    <row r="6" spans="1:25" x14ac:dyDescent="0.2">
      <c r="A6" t="s">
        <v>116</v>
      </c>
      <c r="B6" t="s">
        <v>111</v>
      </c>
      <c r="C6" t="s">
        <v>32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76</v>
      </c>
      <c r="K6">
        <v>366</v>
      </c>
      <c r="L6">
        <v>1</v>
      </c>
      <c r="M6">
        <v>2</v>
      </c>
      <c r="N6">
        <v>2</v>
      </c>
      <c r="O6">
        <v>3</v>
      </c>
      <c r="P6">
        <v>0</v>
      </c>
      <c r="Q6">
        <v>0</v>
      </c>
      <c r="R6">
        <v>0</v>
      </c>
      <c r="S6">
        <v>44.9</v>
      </c>
      <c r="T6">
        <v>3.0165912518853701E-3</v>
      </c>
      <c r="U6">
        <v>4.8157894736842097</v>
      </c>
      <c r="V6">
        <v>1.5</v>
      </c>
      <c r="Y6">
        <v>43.9</v>
      </c>
    </row>
    <row r="7" spans="1:25" x14ac:dyDescent="0.2">
      <c r="A7" t="s">
        <v>117</v>
      </c>
      <c r="B7" t="s">
        <v>111</v>
      </c>
      <c r="C7" t="s">
        <v>32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144</v>
      </c>
      <c r="K7">
        <v>695</v>
      </c>
      <c r="L7">
        <v>8</v>
      </c>
      <c r="M7">
        <v>31</v>
      </c>
      <c r="N7">
        <v>21</v>
      </c>
      <c r="O7">
        <v>122</v>
      </c>
      <c r="P7">
        <v>0</v>
      </c>
      <c r="Q7">
        <v>1</v>
      </c>
      <c r="R7">
        <v>0</v>
      </c>
      <c r="S7">
        <v>154.69999999999999</v>
      </c>
      <c r="T7">
        <v>4.67571644042232E-2</v>
      </c>
      <c r="U7">
        <v>4.8263888888888902</v>
      </c>
      <c r="V7">
        <v>5.8095238095238102</v>
      </c>
      <c r="Y7">
        <v>138.19999999999999</v>
      </c>
    </row>
    <row r="8" spans="1:25" x14ac:dyDescent="0.2">
      <c r="A8" t="s">
        <v>33</v>
      </c>
      <c r="B8" t="s">
        <v>111</v>
      </c>
      <c r="C8" t="s">
        <v>32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2</v>
      </c>
      <c r="K8">
        <v>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</v>
      </c>
      <c r="T8">
        <v>0</v>
      </c>
      <c r="U8">
        <v>1</v>
      </c>
      <c r="Y8">
        <v>0.2</v>
      </c>
    </row>
    <row r="9" spans="1:25" x14ac:dyDescent="0.2">
      <c r="A9" t="s">
        <v>118</v>
      </c>
      <c r="B9" t="s">
        <v>111</v>
      </c>
      <c r="C9" t="s">
        <v>32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1035</v>
      </c>
      <c r="L9">
        <v>3</v>
      </c>
      <c r="M9">
        <v>17</v>
      </c>
      <c r="N9">
        <v>16</v>
      </c>
      <c r="O9">
        <v>139</v>
      </c>
      <c r="P9">
        <v>1</v>
      </c>
      <c r="Q9">
        <v>0</v>
      </c>
      <c r="R9">
        <v>1</v>
      </c>
      <c r="S9">
        <v>159.4</v>
      </c>
      <c r="T9">
        <v>2.5641025641025599E-2</v>
      </c>
      <c r="U9">
        <v>4.9285714285714297</v>
      </c>
      <c r="V9">
        <v>8.6875</v>
      </c>
      <c r="Y9">
        <v>151.4</v>
      </c>
    </row>
    <row r="10" spans="1:25" x14ac:dyDescent="0.2">
      <c r="A10" t="s">
        <v>119</v>
      </c>
      <c r="B10" t="s">
        <v>111</v>
      </c>
      <c r="C10" t="s">
        <v>39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100</v>
      </c>
      <c r="P10">
        <v>0</v>
      </c>
      <c r="Q10">
        <v>0</v>
      </c>
      <c r="R10">
        <v>0</v>
      </c>
      <c r="S10">
        <v>19</v>
      </c>
      <c r="T10">
        <v>1.9607843137254902E-2</v>
      </c>
      <c r="V10">
        <v>11.1111111111111</v>
      </c>
      <c r="Y10">
        <v>14.5</v>
      </c>
    </row>
    <row r="11" spans="1:25" x14ac:dyDescent="0.2">
      <c r="A11" t="s">
        <v>120</v>
      </c>
      <c r="B11" t="s">
        <v>111</v>
      </c>
      <c r="C11" t="s">
        <v>39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3.0165912518853701E-3</v>
      </c>
      <c r="U11">
        <v>0</v>
      </c>
      <c r="Y11">
        <v>0</v>
      </c>
    </row>
    <row r="12" spans="1:25" x14ac:dyDescent="0.2">
      <c r="A12" t="s">
        <v>121</v>
      </c>
      <c r="B12" t="s">
        <v>111</v>
      </c>
      <c r="C12" t="s">
        <v>39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59</v>
      </c>
      <c r="N12">
        <v>28</v>
      </c>
      <c r="O12">
        <v>356</v>
      </c>
      <c r="P12">
        <v>2</v>
      </c>
      <c r="Q12">
        <v>0</v>
      </c>
      <c r="R12">
        <v>0</v>
      </c>
      <c r="S12">
        <v>75.599999999999994</v>
      </c>
      <c r="T12">
        <v>8.8989441930618404E-2</v>
      </c>
      <c r="V12">
        <v>12.714285714285699</v>
      </c>
      <c r="Y12">
        <v>61.6</v>
      </c>
    </row>
    <row r="13" spans="1:25" x14ac:dyDescent="0.2">
      <c r="A13" t="s">
        <v>122</v>
      </c>
      <c r="B13" t="s">
        <v>111</v>
      </c>
      <c r="C13" t="s">
        <v>39</v>
      </c>
      <c r="D13">
        <v>10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21</v>
      </c>
      <c r="N13">
        <v>16</v>
      </c>
      <c r="O13">
        <v>150</v>
      </c>
      <c r="P13">
        <v>4</v>
      </c>
      <c r="Q13">
        <v>0</v>
      </c>
      <c r="R13">
        <v>0</v>
      </c>
      <c r="S13">
        <v>55</v>
      </c>
      <c r="T13">
        <v>3.1674208144796399E-2</v>
      </c>
      <c r="V13">
        <v>9.375</v>
      </c>
      <c r="Y13">
        <v>47</v>
      </c>
    </row>
    <row r="14" spans="1:25" x14ac:dyDescent="0.2">
      <c r="A14" t="s">
        <v>123</v>
      </c>
      <c r="B14" t="s">
        <v>111</v>
      </c>
      <c r="C14" t="s">
        <v>39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11</v>
      </c>
      <c r="N14">
        <v>9</v>
      </c>
      <c r="O14">
        <v>89</v>
      </c>
      <c r="P14">
        <v>0</v>
      </c>
      <c r="Q14">
        <v>0</v>
      </c>
      <c r="R14">
        <v>0</v>
      </c>
      <c r="S14">
        <v>17.899999999999999</v>
      </c>
      <c r="T14">
        <v>1.6591251885369501E-2</v>
      </c>
      <c r="V14">
        <v>9.8888888888888893</v>
      </c>
      <c r="Y14">
        <v>13.4</v>
      </c>
    </row>
    <row r="15" spans="1:25" x14ac:dyDescent="0.2">
      <c r="A15" t="s">
        <v>124</v>
      </c>
      <c r="B15" t="s">
        <v>111</v>
      </c>
      <c r="C15" t="s">
        <v>44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15</v>
      </c>
      <c r="P15">
        <v>0</v>
      </c>
      <c r="Q15">
        <v>0</v>
      </c>
      <c r="R15">
        <v>0</v>
      </c>
      <c r="S15">
        <v>4.5</v>
      </c>
      <c r="T15">
        <v>7.5414781297134196E-3</v>
      </c>
      <c r="V15">
        <v>5</v>
      </c>
      <c r="Y15">
        <v>3</v>
      </c>
    </row>
    <row r="16" spans="1:25" x14ac:dyDescent="0.2">
      <c r="A16" t="s">
        <v>125</v>
      </c>
      <c r="B16" t="s">
        <v>111</v>
      </c>
      <c r="C16" t="s">
        <v>44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23</v>
      </c>
      <c r="N16">
        <v>13</v>
      </c>
      <c r="O16">
        <v>268</v>
      </c>
      <c r="P16">
        <v>2</v>
      </c>
      <c r="Q16">
        <v>0</v>
      </c>
      <c r="R16">
        <v>0</v>
      </c>
      <c r="S16">
        <v>51.8</v>
      </c>
      <c r="T16">
        <v>3.46907993966818E-2</v>
      </c>
      <c r="V16">
        <v>20.615384615384599</v>
      </c>
      <c r="Y16">
        <v>45.3</v>
      </c>
    </row>
    <row r="17" spans="1:25" x14ac:dyDescent="0.2">
      <c r="A17" t="s">
        <v>126</v>
      </c>
      <c r="B17" t="s">
        <v>111</v>
      </c>
      <c r="C17" t="s">
        <v>44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117</v>
      </c>
      <c r="N17">
        <v>72</v>
      </c>
      <c r="O17">
        <v>866</v>
      </c>
      <c r="P17">
        <v>4</v>
      </c>
      <c r="Q17">
        <v>0</v>
      </c>
      <c r="R17">
        <v>0</v>
      </c>
      <c r="S17">
        <v>178.6</v>
      </c>
      <c r="T17">
        <v>0.17647058823529399</v>
      </c>
      <c r="V17">
        <v>12.0277777777778</v>
      </c>
      <c r="Y17">
        <v>146.6</v>
      </c>
    </row>
    <row r="18" spans="1:25" x14ac:dyDescent="0.2">
      <c r="A18" t="s">
        <v>127</v>
      </c>
      <c r="B18" t="s">
        <v>111</v>
      </c>
      <c r="C18" t="s">
        <v>44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15</v>
      </c>
      <c r="P18">
        <v>0</v>
      </c>
      <c r="Q18">
        <v>0</v>
      </c>
      <c r="R18">
        <v>0</v>
      </c>
      <c r="S18">
        <v>2.5</v>
      </c>
      <c r="T18">
        <v>1.5082956259426801E-3</v>
      </c>
      <c r="V18">
        <v>15</v>
      </c>
      <c r="Y18">
        <v>2</v>
      </c>
    </row>
    <row r="19" spans="1:25" x14ac:dyDescent="0.2">
      <c r="A19" t="s">
        <v>128</v>
      </c>
      <c r="B19" t="s">
        <v>111</v>
      </c>
      <c r="C19" t="s">
        <v>44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1.5082956259426801E-3</v>
      </c>
      <c r="Y19">
        <v>0</v>
      </c>
    </row>
    <row r="20" spans="1:25" x14ac:dyDescent="0.2">
      <c r="A20" t="s">
        <v>129</v>
      </c>
      <c r="B20" t="s">
        <v>111</v>
      </c>
      <c r="C20" t="s">
        <v>44</v>
      </c>
      <c r="D20">
        <v>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13</v>
      </c>
      <c r="O20">
        <v>202</v>
      </c>
      <c r="P20">
        <v>1</v>
      </c>
      <c r="Q20">
        <v>0</v>
      </c>
      <c r="R20">
        <v>0</v>
      </c>
      <c r="S20">
        <v>41.2</v>
      </c>
      <c r="T20">
        <v>3.0165912518853699E-2</v>
      </c>
      <c r="V20">
        <v>15.538461538461499</v>
      </c>
      <c r="Y20">
        <v>32.700000000000003</v>
      </c>
    </row>
    <row r="21" spans="1:25" x14ac:dyDescent="0.2">
      <c r="A21" t="s">
        <v>130</v>
      </c>
      <c r="B21" t="s">
        <v>111</v>
      </c>
      <c r="C21" t="s">
        <v>44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7</v>
      </c>
      <c r="L21">
        <v>0</v>
      </c>
      <c r="M21">
        <v>61</v>
      </c>
      <c r="N21">
        <v>40</v>
      </c>
      <c r="O21">
        <v>533</v>
      </c>
      <c r="P21">
        <v>3</v>
      </c>
      <c r="Q21">
        <v>0</v>
      </c>
      <c r="R21">
        <v>0</v>
      </c>
      <c r="S21">
        <v>110</v>
      </c>
      <c r="T21">
        <v>9.2006033182503805E-2</v>
      </c>
      <c r="U21">
        <v>3.5</v>
      </c>
      <c r="V21">
        <v>13.324999999999999</v>
      </c>
      <c r="Y21">
        <v>92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111</v>
      </c>
      <c r="B31">
        <v>5645</v>
      </c>
      <c r="C31">
        <v>2927</v>
      </c>
      <c r="D31">
        <v>559</v>
      </c>
      <c r="E31">
        <v>2718</v>
      </c>
      <c r="F31">
        <v>17</v>
      </c>
      <c r="G31">
        <v>1188.58</v>
      </c>
      <c r="H31">
        <v>415</v>
      </c>
      <c r="I31">
        <v>0.61927710843373496</v>
      </c>
      <c r="J31">
        <v>17</v>
      </c>
      <c r="K31">
        <v>9</v>
      </c>
      <c r="L31">
        <v>6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131</v>
      </c>
      <c r="B36" t="s">
        <v>27</v>
      </c>
      <c r="C36">
        <v>30</v>
      </c>
      <c r="D36">
        <v>6</v>
      </c>
      <c r="E36" t="s">
        <v>93</v>
      </c>
      <c r="F36" t="s">
        <v>111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f>$P36/SUM(Table6[tgt])</f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132</v>
      </c>
      <c r="B37" t="s">
        <v>27</v>
      </c>
      <c r="C37">
        <v>23</v>
      </c>
      <c r="D37">
        <v>2</v>
      </c>
      <c r="E37" t="s">
        <v>133</v>
      </c>
      <c r="F37" t="s">
        <v>111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f>$P37/SUM(Table6[tgt])</f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134</v>
      </c>
      <c r="B38" t="s">
        <v>27</v>
      </c>
      <c r="C38">
        <v>28</v>
      </c>
      <c r="D38">
        <v>4</v>
      </c>
      <c r="E38" t="s">
        <v>135</v>
      </c>
      <c r="F38" t="s">
        <v>111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f>$P38/SUM(Table6[tgt])</f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136</v>
      </c>
      <c r="B39" t="s">
        <v>32</v>
      </c>
      <c r="C39">
        <v>23</v>
      </c>
      <c r="D39">
        <v>2</v>
      </c>
      <c r="E39" t="s">
        <v>81</v>
      </c>
      <c r="F39" t="s">
        <v>111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f>$P39/SUM(Table6[tgt])</f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137</v>
      </c>
      <c r="B40" t="s">
        <v>32</v>
      </c>
      <c r="C40">
        <v>24</v>
      </c>
      <c r="D40">
        <v>0</v>
      </c>
      <c r="E40" t="s">
        <v>108</v>
      </c>
      <c r="F40" t="s">
        <v>111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f>$P40/SUM(Table6[tgt])</f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138</v>
      </c>
      <c r="B41" t="s">
        <v>32</v>
      </c>
      <c r="C41">
        <v>24</v>
      </c>
      <c r="D41">
        <v>2</v>
      </c>
      <c r="E41" t="s">
        <v>139</v>
      </c>
      <c r="F41" t="s">
        <v>111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f>$P41/SUM(Table6[tgt])</f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140</v>
      </c>
      <c r="B42" t="s">
        <v>32</v>
      </c>
      <c r="C42">
        <v>32</v>
      </c>
      <c r="D42">
        <v>11</v>
      </c>
      <c r="E42" t="s">
        <v>141</v>
      </c>
      <c r="F42" t="s">
        <v>111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f>$P42/SUM(Table6[tgt])</f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142</v>
      </c>
      <c r="B43" t="s">
        <v>32</v>
      </c>
      <c r="C43">
        <v>25</v>
      </c>
      <c r="D43">
        <v>1</v>
      </c>
      <c r="E43" t="s">
        <v>143</v>
      </c>
      <c r="F43" t="s">
        <v>111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f>$P43/SUM(Table6[tgt])</f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144</v>
      </c>
      <c r="B44" t="s">
        <v>32</v>
      </c>
      <c r="C44">
        <v>21</v>
      </c>
      <c r="D44">
        <v>0</v>
      </c>
      <c r="E44" t="s">
        <v>67</v>
      </c>
      <c r="F44" t="s">
        <v>111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f>$P44/SUM(Table6[tgt])</f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145</v>
      </c>
      <c r="B45" t="s">
        <v>32</v>
      </c>
      <c r="C45">
        <v>24</v>
      </c>
      <c r="D45">
        <v>0</v>
      </c>
      <c r="E45" t="s">
        <v>146</v>
      </c>
      <c r="F45" t="s">
        <v>111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f>$P45/SUM(Table6[tgt])</f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147</v>
      </c>
      <c r="B46" t="s">
        <v>44</v>
      </c>
      <c r="C46">
        <v>24</v>
      </c>
      <c r="D46">
        <v>1</v>
      </c>
      <c r="E46" t="s">
        <v>148</v>
      </c>
      <c r="F46" t="s">
        <v>111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f>$P46/SUM(Table6[tgt])</f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149</v>
      </c>
      <c r="B47" t="s">
        <v>44</v>
      </c>
      <c r="C47">
        <v>26</v>
      </c>
      <c r="D47">
        <v>4</v>
      </c>
      <c r="E47" t="s">
        <v>97</v>
      </c>
      <c r="F47" t="s">
        <v>111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f>$P47/SUM(Table6[tgt])</f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150</v>
      </c>
      <c r="B48" t="s">
        <v>44</v>
      </c>
      <c r="C48">
        <v>25</v>
      </c>
      <c r="D48">
        <v>0</v>
      </c>
      <c r="E48" t="s">
        <v>151</v>
      </c>
      <c r="F48" t="s">
        <v>111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f>$P48/SUM(Table6[tgt])</f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152</v>
      </c>
      <c r="B49" t="s">
        <v>44</v>
      </c>
      <c r="C49">
        <v>24</v>
      </c>
      <c r="D49">
        <v>2</v>
      </c>
      <c r="E49" t="s">
        <v>153</v>
      </c>
      <c r="F49" t="s">
        <v>111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f>$P49/SUM(Table6[tgt])</f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154</v>
      </c>
      <c r="B50" t="s">
        <v>44</v>
      </c>
      <c r="C50">
        <v>25</v>
      </c>
      <c r="D50">
        <v>3</v>
      </c>
      <c r="E50" t="s">
        <v>155</v>
      </c>
      <c r="F50" t="s">
        <v>111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f>$P50/SUM(Table6[tgt])</f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156</v>
      </c>
      <c r="B51" t="s">
        <v>44</v>
      </c>
      <c r="C51">
        <v>22</v>
      </c>
      <c r="D51">
        <v>0</v>
      </c>
      <c r="E51" t="s">
        <v>157</v>
      </c>
      <c r="F51" t="s">
        <v>111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f>$P51/SUM(Table6[tgt])</f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158</v>
      </c>
      <c r="B52" t="s">
        <v>44</v>
      </c>
      <c r="C52">
        <v>27</v>
      </c>
      <c r="D52">
        <v>4</v>
      </c>
      <c r="E52" t="s">
        <v>159</v>
      </c>
      <c r="F52" t="s">
        <v>111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f>$P52/SUM(Table6[tgt])</f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160</v>
      </c>
      <c r="B53" t="s">
        <v>44</v>
      </c>
      <c r="C53">
        <v>28</v>
      </c>
      <c r="D53">
        <v>6</v>
      </c>
      <c r="E53" t="s">
        <v>161</v>
      </c>
      <c r="F53" t="s">
        <v>111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f>$P53/SUM(Table6[tgt])</f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162</v>
      </c>
      <c r="B54" t="s">
        <v>44</v>
      </c>
      <c r="C54">
        <v>29</v>
      </c>
      <c r="D54">
        <v>7</v>
      </c>
      <c r="E54" t="s">
        <v>163</v>
      </c>
      <c r="F54" t="s">
        <v>111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f>$P54/SUM(Table6[tgt])</f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164</v>
      </c>
      <c r="B55" t="s">
        <v>44</v>
      </c>
      <c r="C55">
        <v>21</v>
      </c>
      <c r="D55">
        <v>2</v>
      </c>
      <c r="E55" t="s">
        <v>79</v>
      </c>
      <c r="F55" t="s">
        <v>111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f>$P55/SUM(Table6[tgt])</f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165</v>
      </c>
      <c r="B56" t="s">
        <v>44</v>
      </c>
      <c r="C56">
        <v>23</v>
      </c>
      <c r="D56">
        <v>0</v>
      </c>
      <c r="E56" t="s">
        <v>166</v>
      </c>
      <c r="F56" t="s">
        <v>111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f>$P56/SUM(Table6[tgt])</f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167</v>
      </c>
      <c r="B57" t="s">
        <v>44</v>
      </c>
      <c r="C57">
        <v>25</v>
      </c>
      <c r="D57">
        <v>5</v>
      </c>
      <c r="E57" t="s">
        <v>168</v>
      </c>
      <c r="F57" t="s">
        <v>111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f>$P57/SUM(Table6[tgt])</f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169</v>
      </c>
      <c r="B58" t="s">
        <v>39</v>
      </c>
      <c r="C58">
        <v>24</v>
      </c>
      <c r="D58">
        <v>1</v>
      </c>
      <c r="E58" t="s">
        <v>97</v>
      </c>
      <c r="F58" t="s">
        <v>111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f>$P58/SUM(Table6[tgt])</f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170</v>
      </c>
      <c r="B59" t="s">
        <v>39</v>
      </c>
      <c r="C59">
        <v>23</v>
      </c>
      <c r="D59">
        <v>2</v>
      </c>
      <c r="E59" t="s">
        <v>171</v>
      </c>
      <c r="F59" t="s">
        <v>111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f>$P59/SUM(Table6[tgt])</f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172</v>
      </c>
      <c r="B60" t="s">
        <v>39</v>
      </c>
      <c r="C60">
        <v>25</v>
      </c>
      <c r="D60">
        <v>3</v>
      </c>
      <c r="E60" t="s">
        <v>173</v>
      </c>
      <c r="F60" t="s">
        <v>111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f>$P60/SUM(Table6[tgt])</f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174</v>
      </c>
      <c r="B61" t="s">
        <v>39</v>
      </c>
      <c r="C61">
        <v>28</v>
      </c>
      <c r="D61">
        <v>3</v>
      </c>
      <c r="E61" t="s">
        <v>95</v>
      </c>
      <c r="F61" t="s">
        <v>111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f>$P61/SUM(Table6[tgt])</f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175</v>
      </c>
      <c r="B62" t="s">
        <v>39</v>
      </c>
      <c r="C62">
        <v>22</v>
      </c>
      <c r="D62">
        <v>3</v>
      </c>
      <c r="E62" t="s">
        <v>176</v>
      </c>
      <c r="F62" t="s">
        <v>111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f>$P62/SUM(Table6[tgt])</f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177</v>
      </c>
      <c r="B63" t="s">
        <v>39</v>
      </c>
      <c r="C63">
        <v>27</v>
      </c>
      <c r="D63">
        <v>7</v>
      </c>
      <c r="E63" t="s">
        <v>178</v>
      </c>
      <c r="F63" t="s">
        <v>111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f>$P63/SUM(Table6[tgt])</f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dataConsolidate/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179</v>
      </c>
      <c r="B2" t="s">
        <v>180</v>
      </c>
      <c r="C2" t="s">
        <v>112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16</v>
      </c>
      <c r="L2">
        <v>0</v>
      </c>
      <c r="M2">
        <v>13</v>
      </c>
      <c r="N2">
        <v>11</v>
      </c>
      <c r="O2">
        <v>74</v>
      </c>
      <c r="P2">
        <v>0</v>
      </c>
      <c r="Q2">
        <v>0</v>
      </c>
      <c r="R2">
        <v>0</v>
      </c>
      <c r="S2">
        <v>20</v>
      </c>
      <c r="T2">
        <v>3.13253012048193E-2</v>
      </c>
      <c r="U2">
        <v>2.28571428571429</v>
      </c>
      <c r="V2">
        <v>6.7272727272727302</v>
      </c>
      <c r="Y2">
        <v>14.5</v>
      </c>
    </row>
    <row r="3" spans="1:25" x14ac:dyDescent="0.2">
      <c r="A3" t="s">
        <v>181</v>
      </c>
      <c r="B3" t="s">
        <v>180</v>
      </c>
      <c r="C3" t="s">
        <v>27</v>
      </c>
      <c r="D3">
        <v>2</v>
      </c>
      <c r="E3">
        <v>49</v>
      </c>
      <c r="F3">
        <v>22</v>
      </c>
      <c r="G3">
        <v>302</v>
      </c>
      <c r="H3">
        <v>0</v>
      </c>
      <c r="I3">
        <v>2</v>
      </c>
      <c r="J3">
        <v>3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5.58</v>
      </c>
      <c r="T3">
        <v>0</v>
      </c>
      <c r="U3">
        <v>-1.6666666666666701</v>
      </c>
      <c r="W3">
        <v>0.44897959183673503</v>
      </c>
      <c r="X3">
        <v>0</v>
      </c>
      <c r="Y3">
        <v>7.58</v>
      </c>
    </row>
    <row r="4" spans="1:25" x14ac:dyDescent="0.2">
      <c r="A4" t="s">
        <v>182</v>
      </c>
      <c r="B4" t="s">
        <v>180</v>
      </c>
      <c r="C4" t="s">
        <v>27</v>
      </c>
      <c r="D4">
        <v>12</v>
      </c>
      <c r="E4">
        <v>326</v>
      </c>
      <c r="F4">
        <v>203</v>
      </c>
      <c r="G4">
        <v>2242</v>
      </c>
      <c r="H4">
        <v>17</v>
      </c>
      <c r="I4">
        <v>7</v>
      </c>
      <c r="J4">
        <v>112</v>
      </c>
      <c r="K4">
        <v>764</v>
      </c>
      <c r="L4">
        <v>3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236.08</v>
      </c>
      <c r="T4">
        <v>0</v>
      </c>
      <c r="U4">
        <v>6.8214285714285703</v>
      </c>
      <c r="W4">
        <v>0.622699386503067</v>
      </c>
      <c r="X4">
        <v>5.2147239263803699E-2</v>
      </c>
      <c r="Y4">
        <v>243.08</v>
      </c>
    </row>
    <row r="5" spans="1:25" x14ac:dyDescent="0.2">
      <c r="A5" t="s">
        <v>183</v>
      </c>
      <c r="B5" t="s">
        <v>180</v>
      </c>
      <c r="C5" t="s">
        <v>27</v>
      </c>
      <c r="D5">
        <v>5</v>
      </c>
      <c r="E5">
        <v>112</v>
      </c>
      <c r="F5">
        <v>75</v>
      </c>
      <c r="G5">
        <v>658</v>
      </c>
      <c r="H5">
        <v>2</v>
      </c>
      <c r="I5">
        <v>3</v>
      </c>
      <c r="J5">
        <v>43</v>
      </c>
      <c r="K5">
        <v>137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50.02</v>
      </c>
      <c r="T5">
        <v>0</v>
      </c>
      <c r="U5">
        <v>3.18604651162791</v>
      </c>
      <c r="W5">
        <v>0.66964285714285698</v>
      </c>
      <c r="X5">
        <v>1.7857142857142901E-2</v>
      </c>
      <c r="Y5">
        <v>53.02</v>
      </c>
    </row>
    <row r="6" spans="1:25" x14ac:dyDescent="0.2">
      <c r="A6" t="s">
        <v>184</v>
      </c>
      <c r="B6" t="s">
        <v>180</v>
      </c>
      <c r="C6" t="s">
        <v>32</v>
      </c>
      <c r="D6">
        <v>9</v>
      </c>
      <c r="E6">
        <v>0</v>
      </c>
      <c r="F6">
        <v>0</v>
      </c>
      <c r="G6">
        <v>0</v>
      </c>
      <c r="H6">
        <v>0</v>
      </c>
      <c r="I6">
        <v>0</v>
      </c>
      <c r="J6">
        <v>87</v>
      </c>
      <c r="K6">
        <v>433</v>
      </c>
      <c r="L6">
        <v>3</v>
      </c>
      <c r="M6">
        <v>2</v>
      </c>
      <c r="N6">
        <v>0</v>
      </c>
      <c r="O6">
        <v>0</v>
      </c>
      <c r="P6">
        <v>0</v>
      </c>
      <c r="Q6">
        <v>1</v>
      </c>
      <c r="R6">
        <v>0</v>
      </c>
      <c r="S6">
        <v>59.3</v>
      </c>
      <c r="T6">
        <v>4.8192771084337397E-3</v>
      </c>
      <c r="U6">
        <v>4.9770114942528698</v>
      </c>
      <c r="Y6">
        <v>59.3</v>
      </c>
    </row>
    <row r="7" spans="1:25" x14ac:dyDescent="0.2">
      <c r="A7" t="s">
        <v>185</v>
      </c>
      <c r="B7" t="s">
        <v>180</v>
      </c>
      <c r="C7" t="s">
        <v>32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92</v>
      </c>
      <c r="K7">
        <v>520</v>
      </c>
      <c r="L7">
        <v>2</v>
      </c>
      <c r="M7">
        <v>8</v>
      </c>
      <c r="N7">
        <v>7</v>
      </c>
      <c r="O7">
        <v>42</v>
      </c>
      <c r="P7">
        <v>1</v>
      </c>
      <c r="Q7">
        <v>0</v>
      </c>
      <c r="R7">
        <v>0</v>
      </c>
      <c r="S7">
        <v>81.2</v>
      </c>
      <c r="T7">
        <v>1.92771084337349E-2</v>
      </c>
      <c r="U7">
        <v>5.6521739130434803</v>
      </c>
      <c r="V7">
        <v>6</v>
      </c>
      <c r="Y7">
        <v>77.7</v>
      </c>
    </row>
    <row r="8" spans="1:25" x14ac:dyDescent="0.2">
      <c r="A8" t="s">
        <v>186</v>
      </c>
      <c r="B8" t="s">
        <v>180</v>
      </c>
      <c r="C8" t="s">
        <v>32</v>
      </c>
      <c r="D8">
        <v>13</v>
      </c>
      <c r="E8">
        <v>0</v>
      </c>
      <c r="F8">
        <v>0</v>
      </c>
      <c r="G8">
        <v>0</v>
      </c>
      <c r="H8">
        <v>0</v>
      </c>
      <c r="I8">
        <v>0</v>
      </c>
      <c r="J8">
        <v>49</v>
      </c>
      <c r="K8">
        <v>262</v>
      </c>
      <c r="L8">
        <v>0</v>
      </c>
      <c r="M8">
        <v>12</v>
      </c>
      <c r="N8">
        <v>12</v>
      </c>
      <c r="O8">
        <v>58</v>
      </c>
      <c r="P8">
        <v>0</v>
      </c>
      <c r="Q8">
        <v>1</v>
      </c>
      <c r="R8">
        <v>0</v>
      </c>
      <c r="S8">
        <v>42</v>
      </c>
      <c r="T8">
        <v>2.89156626506024E-2</v>
      </c>
      <c r="U8">
        <v>5.3469387755101998</v>
      </c>
      <c r="V8">
        <v>4.8333333333333304</v>
      </c>
      <c r="Y8">
        <v>36</v>
      </c>
    </row>
    <row r="9" spans="1:25" x14ac:dyDescent="0.2">
      <c r="A9" t="s">
        <v>187</v>
      </c>
      <c r="B9" t="s">
        <v>180</v>
      </c>
      <c r="C9" t="s">
        <v>32</v>
      </c>
      <c r="D9">
        <v>12</v>
      </c>
      <c r="E9">
        <v>0</v>
      </c>
      <c r="F9">
        <v>0</v>
      </c>
      <c r="G9">
        <v>0</v>
      </c>
      <c r="H9">
        <v>0</v>
      </c>
      <c r="I9">
        <v>0</v>
      </c>
      <c r="J9">
        <v>109</v>
      </c>
      <c r="K9">
        <v>482</v>
      </c>
      <c r="L9">
        <v>4</v>
      </c>
      <c r="M9">
        <v>26</v>
      </c>
      <c r="N9">
        <v>17</v>
      </c>
      <c r="O9">
        <v>89</v>
      </c>
      <c r="P9">
        <v>1</v>
      </c>
      <c r="Q9">
        <v>0</v>
      </c>
      <c r="R9">
        <v>0</v>
      </c>
      <c r="S9">
        <v>104.1</v>
      </c>
      <c r="T9">
        <v>6.26506024096386E-2</v>
      </c>
      <c r="U9">
        <v>4.4220183486238502</v>
      </c>
      <c r="V9">
        <v>5.2352941176470598</v>
      </c>
      <c r="Y9">
        <v>95.6</v>
      </c>
    </row>
    <row r="10" spans="1:25" x14ac:dyDescent="0.2">
      <c r="A10" t="s">
        <v>188</v>
      </c>
      <c r="B10" t="s">
        <v>180</v>
      </c>
      <c r="C10" t="s">
        <v>32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8</v>
      </c>
      <c r="K10">
        <v>18</v>
      </c>
      <c r="L10">
        <v>0</v>
      </c>
      <c r="M10">
        <v>2</v>
      </c>
      <c r="N10">
        <v>2</v>
      </c>
      <c r="O10">
        <v>4</v>
      </c>
      <c r="P10">
        <v>0</v>
      </c>
      <c r="Q10">
        <v>0</v>
      </c>
      <c r="R10">
        <v>0</v>
      </c>
      <c r="S10">
        <v>4.2</v>
      </c>
      <c r="T10">
        <v>4.8192771084337397E-3</v>
      </c>
      <c r="U10">
        <v>2.25</v>
      </c>
      <c r="V10">
        <v>2</v>
      </c>
      <c r="Y10">
        <v>3.2</v>
      </c>
    </row>
    <row r="11" spans="1:25" x14ac:dyDescent="0.2">
      <c r="A11" t="s">
        <v>189</v>
      </c>
      <c r="B11" t="s">
        <v>180</v>
      </c>
      <c r="C11" t="s">
        <v>39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6</v>
      </c>
      <c r="N11">
        <v>4</v>
      </c>
      <c r="O11">
        <v>49</v>
      </c>
      <c r="P11">
        <v>0</v>
      </c>
      <c r="Q11">
        <v>0</v>
      </c>
      <c r="R11">
        <v>0</v>
      </c>
      <c r="S11">
        <v>8.9</v>
      </c>
      <c r="T11">
        <v>1.44578313253012E-2</v>
      </c>
      <c r="V11">
        <v>12.25</v>
      </c>
      <c r="Y11">
        <v>6.9</v>
      </c>
    </row>
    <row r="12" spans="1:25" x14ac:dyDescent="0.2">
      <c r="A12" t="s">
        <v>190</v>
      </c>
      <c r="B12" t="s">
        <v>180</v>
      </c>
      <c r="C12" t="s">
        <v>39</v>
      </c>
      <c r="D12">
        <v>14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60</v>
      </c>
      <c r="N12">
        <v>36</v>
      </c>
      <c r="O12">
        <v>373</v>
      </c>
      <c r="P12">
        <v>3</v>
      </c>
      <c r="Q12">
        <v>0</v>
      </c>
      <c r="R12">
        <v>0</v>
      </c>
      <c r="S12">
        <v>91.3</v>
      </c>
      <c r="T12">
        <v>0.14457831325301199</v>
      </c>
      <c r="V12">
        <v>10.3611111111111</v>
      </c>
      <c r="Y12">
        <v>73.3</v>
      </c>
    </row>
    <row r="13" spans="1:25" x14ac:dyDescent="0.2">
      <c r="A13" t="s">
        <v>191</v>
      </c>
      <c r="B13" t="s">
        <v>180</v>
      </c>
      <c r="C13" t="s">
        <v>39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25</v>
      </c>
      <c r="N13">
        <v>14</v>
      </c>
      <c r="O13">
        <v>149</v>
      </c>
      <c r="P13">
        <v>2</v>
      </c>
      <c r="Q13">
        <v>0</v>
      </c>
      <c r="R13">
        <v>0</v>
      </c>
      <c r="S13">
        <v>40.9</v>
      </c>
      <c r="T13">
        <v>6.02409638554217E-2</v>
      </c>
      <c r="V13">
        <v>10.6428571428571</v>
      </c>
      <c r="Y13">
        <v>33.9</v>
      </c>
    </row>
    <row r="14" spans="1:25" x14ac:dyDescent="0.2">
      <c r="A14" t="s">
        <v>192</v>
      </c>
      <c r="B14" t="s">
        <v>180</v>
      </c>
      <c r="C14" t="s">
        <v>39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8</v>
      </c>
      <c r="L14">
        <v>0</v>
      </c>
      <c r="M14">
        <v>113</v>
      </c>
      <c r="N14">
        <v>73</v>
      </c>
      <c r="O14">
        <v>847</v>
      </c>
      <c r="P14">
        <v>5</v>
      </c>
      <c r="Q14">
        <v>0</v>
      </c>
      <c r="R14">
        <v>0</v>
      </c>
      <c r="S14">
        <v>190.5</v>
      </c>
      <c r="T14">
        <v>0.27228915662650599</v>
      </c>
      <c r="U14">
        <v>2.6666666666666701</v>
      </c>
      <c r="V14">
        <v>11.6027397260274</v>
      </c>
      <c r="Y14">
        <v>152</v>
      </c>
    </row>
    <row r="15" spans="1:25" x14ac:dyDescent="0.2">
      <c r="A15" t="s">
        <v>46</v>
      </c>
      <c r="B15" t="s">
        <v>180</v>
      </c>
      <c r="C15" t="s">
        <v>44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0.1</v>
      </c>
      <c r="T15">
        <v>0</v>
      </c>
      <c r="U15">
        <v>1</v>
      </c>
      <c r="Y15">
        <v>0.1</v>
      </c>
    </row>
    <row r="16" spans="1:25" x14ac:dyDescent="0.2">
      <c r="A16" t="s">
        <v>193</v>
      </c>
      <c r="B16" t="s">
        <v>180</v>
      </c>
      <c r="C16" t="s">
        <v>44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12</v>
      </c>
      <c r="K16">
        <v>84</v>
      </c>
      <c r="L16">
        <v>1</v>
      </c>
      <c r="M16">
        <v>49</v>
      </c>
      <c r="N16">
        <v>37</v>
      </c>
      <c r="O16">
        <v>407</v>
      </c>
      <c r="P16">
        <v>3</v>
      </c>
      <c r="Q16">
        <v>0</v>
      </c>
      <c r="R16">
        <v>0</v>
      </c>
      <c r="S16">
        <v>116.1</v>
      </c>
      <c r="T16">
        <v>0.118072289156627</v>
      </c>
      <c r="U16">
        <v>7</v>
      </c>
      <c r="V16">
        <v>11</v>
      </c>
      <c r="Y16">
        <v>91.6</v>
      </c>
    </row>
    <row r="17" spans="1:25" x14ac:dyDescent="0.2">
      <c r="A17" t="s">
        <v>194</v>
      </c>
      <c r="B17" t="s">
        <v>180</v>
      </c>
      <c r="C17" t="s">
        <v>44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17</v>
      </c>
      <c r="N17">
        <v>9</v>
      </c>
      <c r="O17">
        <v>153</v>
      </c>
      <c r="P17">
        <v>0</v>
      </c>
      <c r="Q17">
        <v>0</v>
      </c>
      <c r="R17">
        <v>0</v>
      </c>
      <c r="S17">
        <v>24.3</v>
      </c>
      <c r="T17">
        <v>4.09638554216867E-2</v>
      </c>
      <c r="V17">
        <v>17</v>
      </c>
      <c r="Y17">
        <v>19.8</v>
      </c>
    </row>
    <row r="18" spans="1:25" x14ac:dyDescent="0.2">
      <c r="A18" t="s">
        <v>195</v>
      </c>
      <c r="B18" t="s">
        <v>180</v>
      </c>
      <c r="C18" t="s">
        <v>44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75</v>
      </c>
      <c r="N18">
        <v>48</v>
      </c>
      <c r="O18">
        <v>458</v>
      </c>
      <c r="P18">
        <v>2</v>
      </c>
      <c r="Q18">
        <v>0</v>
      </c>
      <c r="R18">
        <v>0</v>
      </c>
      <c r="S18">
        <v>103.8</v>
      </c>
      <c r="T18">
        <v>0.180722891566265</v>
      </c>
      <c r="V18">
        <v>9.5416666666666696</v>
      </c>
      <c r="Y18">
        <v>81.8</v>
      </c>
    </row>
    <row r="19" spans="1:25" x14ac:dyDescent="0.2">
      <c r="A19" t="s">
        <v>196</v>
      </c>
      <c r="B19" t="s">
        <v>180</v>
      </c>
      <c r="C19" t="s">
        <v>44</v>
      </c>
      <c r="D19">
        <v>7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  <c r="K19">
        <v>0</v>
      </c>
      <c r="L19">
        <v>0</v>
      </c>
      <c r="M19">
        <v>17</v>
      </c>
      <c r="N19">
        <v>8</v>
      </c>
      <c r="O19">
        <v>62</v>
      </c>
      <c r="P19">
        <v>0</v>
      </c>
      <c r="Q19">
        <v>0</v>
      </c>
      <c r="R19">
        <v>0</v>
      </c>
      <c r="S19">
        <v>12.2</v>
      </c>
      <c r="T19">
        <v>4.09638554216867E-2</v>
      </c>
      <c r="V19">
        <v>7.75</v>
      </c>
      <c r="W19">
        <v>0</v>
      </c>
      <c r="X19">
        <v>0</v>
      </c>
      <c r="Y19">
        <v>10.199999999999999</v>
      </c>
    </row>
    <row r="20" spans="1:25" x14ac:dyDescent="0.2">
      <c r="A20" t="s">
        <v>197</v>
      </c>
      <c r="B20" t="s">
        <v>180</v>
      </c>
      <c r="C20" t="s">
        <v>44</v>
      </c>
      <c r="D20">
        <v>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28</v>
      </c>
      <c r="N20">
        <v>15</v>
      </c>
      <c r="O20">
        <v>285</v>
      </c>
      <c r="P20">
        <v>2</v>
      </c>
      <c r="Q20">
        <v>0</v>
      </c>
      <c r="R20">
        <v>0</v>
      </c>
      <c r="S20">
        <v>53.5</v>
      </c>
      <c r="T20">
        <v>6.7469879518072304E-2</v>
      </c>
      <c r="V20">
        <v>19</v>
      </c>
      <c r="Y20">
        <v>48</v>
      </c>
    </row>
    <row r="21" spans="1:25" x14ac:dyDescent="0.2">
      <c r="A21" t="s">
        <v>198</v>
      </c>
      <c r="B21" t="s">
        <v>180</v>
      </c>
      <c r="C21" t="s">
        <v>44</v>
      </c>
      <c r="D21">
        <v>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3</v>
      </c>
      <c r="O21">
        <v>119</v>
      </c>
      <c r="P21">
        <v>0</v>
      </c>
      <c r="Q21">
        <v>0</v>
      </c>
      <c r="R21">
        <v>0</v>
      </c>
      <c r="S21">
        <v>12.9</v>
      </c>
      <c r="T21">
        <v>1.20481927710843E-2</v>
      </c>
      <c r="V21">
        <v>39.6666666666667</v>
      </c>
      <c r="Y21">
        <v>13.4</v>
      </c>
    </row>
    <row r="22" spans="1:25" x14ac:dyDescent="0.2">
      <c r="A22" t="s">
        <v>199</v>
      </c>
      <c r="B22" t="s">
        <v>180</v>
      </c>
      <c r="C22" t="s">
        <v>44</v>
      </c>
      <c r="D22">
        <v>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7</v>
      </c>
      <c r="N22">
        <v>4</v>
      </c>
      <c r="O22">
        <v>33</v>
      </c>
      <c r="P22">
        <v>0</v>
      </c>
      <c r="Q22">
        <v>0</v>
      </c>
      <c r="R22">
        <v>0</v>
      </c>
      <c r="S22">
        <v>7.3</v>
      </c>
      <c r="T22">
        <v>1.68674698795181E-2</v>
      </c>
      <c r="V22">
        <v>8.25</v>
      </c>
      <c r="Y22">
        <v>5.3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180</v>
      </c>
      <c r="B31">
        <v>5922</v>
      </c>
      <c r="C31">
        <v>3202</v>
      </c>
      <c r="D31">
        <v>526</v>
      </c>
      <c r="E31">
        <v>2720</v>
      </c>
      <c r="F31">
        <v>14</v>
      </c>
      <c r="G31">
        <v>1264.28</v>
      </c>
      <c r="H31">
        <v>488</v>
      </c>
      <c r="I31">
        <v>0.61475409836065598</v>
      </c>
      <c r="J31">
        <v>19</v>
      </c>
      <c r="K31">
        <v>13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200</v>
      </c>
      <c r="B36" t="s">
        <v>27</v>
      </c>
      <c r="C36">
        <v>24</v>
      </c>
      <c r="D36">
        <v>1</v>
      </c>
      <c r="E36" t="s">
        <v>201</v>
      </c>
      <c r="F36" t="s">
        <v>180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202</v>
      </c>
      <c r="B37" t="s">
        <v>27</v>
      </c>
      <c r="C37">
        <v>25</v>
      </c>
      <c r="D37">
        <v>4</v>
      </c>
      <c r="E37" t="s">
        <v>203</v>
      </c>
      <c r="F37" t="s">
        <v>180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204</v>
      </c>
      <c r="B38" t="s">
        <v>27</v>
      </c>
      <c r="C38">
        <v>26</v>
      </c>
      <c r="D38">
        <v>6</v>
      </c>
      <c r="E38" t="s">
        <v>205</v>
      </c>
      <c r="F38" t="s">
        <v>180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206</v>
      </c>
      <c r="B39" t="s">
        <v>27</v>
      </c>
      <c r="C39">
        <v>37</v>
      </c>
      <c r="D39">
        <v>8</v>
      </c>
      <c r="E39" t="s">
        <v>207</v>
      </c>
      <c r="F39" t="s">
        <v>180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208</v>
      </c>
      <c r="B40" t="s">
        <v>32</v>
      </c>
      <c r="C40">
        <v>24</v>
      </c>
      <c r="D40">
        <v>4</v>
      </c>
      <c r="E40" t="s">
        <v>209</v>
      </c>
      <c r="F40" t="s">
        <v>180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210</v>
      </c>
      <c r="B41" t="s">
        <v>32</v>
      </c>
      <c r="C41">
        <v>28</v>
      </c>
      <c r="D41">
        <v>6</v>
      </c>
      <c r="E41" t="s">
        <v>211</v>
      </c>
      <c r="F41" t="s">
        <v>180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212</v>
      </c>
      <c r="B42" t="s">
        <v>32</v>
      </c>
      <c r="C42">
        <v>25</v>
      </c>
      <c r="D42">
        <v>5</v>
      </c>
      <c r="E42" t="s">
        <v>213</v>
      </c>
      <c r="F42" t="s">
        <v>180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214</v>
      </c>
      <c r="B43" t="s">
        <v>32</v>
      </c>
      <c r="C43">
        <v>21</v>
      </c>
      <c r="D43">
        <v>0</v>
      </c>
      <c r="E43" t="s">
        <v>215</v>
      </c>
      <c r="F43" t="s">
        <v>180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216</v>
      </c>
      <c r="B44" t="s">
        <v>32</v>
      </c>
      <c r="C44">
        <v>24</v>
      </c>
      <c r="D44">
        <v>0</v>
      </c>
      <c r="E44" t="s">
        <v>217</v>
      </c>
      <c r="F44" t="s">
        <v>180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218</v>
      </c>
      <c r="B45" t="s">
        <v>44</v>
      </c>
      <c r="C45">
        <v>30</v>
      </c>
      <c r="D45">
        <v>9</v>
      </c>
      <c r="E45" t="s">
        <v>79</v>
      </c>
      <c r="F45" t="s">
        <v>180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219</v>
      </c>
      <c r="B46" t="s">
        <v>44</v>
      </c>
      <c r="C46">
        <v>23</v>
      </c>
      <c r="D46">
        <v>3</v>
      </c>
      <c r="E46" t="s">
        <v>220</v>
      </c>
      <c r="F46" t="s">
        <v>180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221</v>
      </c>
      <c r="B47" t="s">
        <v>44</v>
      </c>
      <c r="C47">
        <v>30</v>
      </c>
      <c r="D47">
        <v>9</v>
      </c>
      <c r="E47" t="s">
        <v>222</v>
      </c>
      <c r="F47" t="s">
        <v>180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223</v>
      </c>
      <c r="B48" t="s">
        <v>44</v>
      </c>
      <c r="C48">
        <v>25</v>
      </c>
      <c r="D48">
        <v>1</v>
      </c>
      <c r="E48" t="s">
        <v>67</v>
      </c>
      <c r="F48" t="s">
        <v>180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224</v>
      </c>
      <c r="B49" t="s">
        <v>44</v>
      </c>
      <c r="C49">
        <v>25</v>
      </c>
      <c r="D49">
        <v>1</v>
      </c>
      <c r="E49" t="s">
        <v>225</v>
      </c>
      <c r="F49" t="s">
        <v>180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226</v>
      </c>
      <c r="B50" t="s">
        <v>44</v>
      </c>
      <c r="C50">
        <v>22</v>
      </c>
      <c r="D50">
        <v>0</v>
      </c>
      <c r="E50" t="s">
        <v>227</v>
      </c>
      <c r="F50" t="s">
        <v>180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228</v>
      </c>
      <c r="B51" t="s">
        <v>44</v>
      </c>
      <c r="C51">
        <v>25</v>
      </c>
      <c r="D51">
        <v>4</v>
      </c>
      <c r="E51" t="s">
        <v>67</v>
      </c>
      <c r="F51" t="s">
        <v>180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229</v>
      </c>
      <c r="B52" t="s">
        <v>44</v>
      </c>
      <c r="C52">
        <v>22</v>
      </c>
      <c r="D52">
        <v>0</v>
      </c>
      <c r="E52" t="s">
        <v>230</v>
      </c>
      <c r="F52" t="s">
        <v>180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231</v>
      </c>
      <c r="B53" t="s">
        <v>44</v>
      </c>
      <c r="C53">
        <v>26</v>
      </c>
      <c r="D53">
        <v>5</v>
      </c>
      <c r="E53" t="s">
        <v>232</v>
      </c>
      <c r="F53" t="s">
        <v>180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233</v>
      </c>
      <c r="B54" t="s">
        <v>44</v>
      </c>
      <c r="C54">
        <v>26</v>
      </c>
      <c r="D54">
        <v>4</v>
      </c>
      <c r="E54" t="s">
        <v>234</v>
      </c>
      <c r="F54" t="s">
        <v>180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235</v>
      </c>
      <c r="B55" t="s">
        <v>44</v>
      </c>
      <c r="C55">
        <v>24</v>
      </c>
      <c r="D55">
        <v>0</v>
      </c>
      <c r="E55" t="s">
        <v>211</v>
      </c>
      <c r="F55" t="s">
        <v>180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236</v>
      </c>
      <c r="B56" t="s">
        <v>44</v>
      </c>
      <c r="C56">
        <v>28</v>
      </c>
      <c r="D56">
        <v>8</v>
      </c>
      <c r="E56" t="s">
        <v>237</v>
      </c>
      <c r="F56" t="s">
        <v>180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238</v>
      </c>
      <c r="B57" t="s">
        <v>44</v>
      </c>
      <c r="C57">
        <v>28</v>
      </c>
      <c r="D57">
        <v>5</v>
      </c>
      <c r="E57" t="s">
        <v>239</v>
      </c>
      <c r="F57" t="s">
        <v>180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240</v>
      </c>
      <c r="B58" t="s">
        <v>44</v>
      </c>
      <c r="C58">
        <v>24</v>
      </c>
      <c r="D58">
        <v>3</v>
      </c>
      <c r="E58" t="s">
        <v>213</v>
      </c>
      <c r="F58" t="s">
        <v>180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241</v>
      </c>
      <c r="B59" t="s">
        <v>39</v>
      </c>
      <c r="C59">
        <v>27</v>
      </c>
      <c r="D59">
        <v>6</v>
      </c>
      <c r="E59" t="s">
        <v>69</v>
      </c>
      <c r="F59" t="s">
        <v>180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242</v>
      </c>
      <c r="B60" t="s">
        <v>39</v>
      </c>
      <c r="C60">
        <v>24</v>
      </c>
      <c r="D60">
        <v>2</v>
      </c>
      <c r="E60" t="s">
        <v>243</v>
      </c>
      <c r="F60" t="s">
        <v>180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244</v>
      </c>
      <c r="B61" t="s">
        <v>39</v>
      </c>
      <c r="C61">
        <v>23</v>
      </c>
      <c r="D61">
        <v>2</v>
      </c>
      <c r="E61" t="s">
        <v>245</v>
      </c>
      <c r="F61" t="s">
        <v>180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246</v>
      </c>
      <c r="B62" t="s">
        <v>39</v>
      </c>
      <c r="C62">
        <v>25</v>
      </c>
      <c r="D62">
        <v>0</v>
      </c>
      <c r="E62" t="s">
        <v>247</v>
      </c>
      <c r="F62" t="s">
        <v>180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248</v>
      </c>
      <c r="B2" t="s">
        <v>249</v>
      </c>
      <c r="C2" t="s">
        <v>112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10</v>
      </c>
      <c r="N2">
        <v>8</v>
      </c>
      <c r="O2">
        <v>69</v>
      </c>
      <c r="P2">
        <v>1</v>
      </c>
      <c r="Q2">
        <v>0</v>
      </c>
      <c r="R2">
        <v>0</v>
      </c>
      <c r="S2">
        <v>20.9</v>
      </c>
      <c r="T2">
        <v>2.0491803278688499E-2</v>
      </c>
      <c r="V2">
        <v>8.625</v>
      </c>
      <c r="Y2">
        <v>16.899999999999999</v>
      </c>
    </row>
    <row r="3" spans="1:25" x14ac:dyDescent="0.2">
      <c r="A3" t="s">
        <v>250</v>
      </c>
      <c r="B3" t="s">
        <v>249</v>
      </c>
      <c r="C3" t="s">
        <v>27</v>
      </c>
      <c r="D3">
        <v>2</v>
      </c>
      <c r="E3">
        <v>7</v>
      </c>
      <c r="F3">
        <v>2</v>
      </c>
      <c r="G3">
        <v>8</v>
      </c>
      <c r="H3">
        <v>0</v>
      </c>
      <c r="I3">
        <v>0</v>
      </c>
      <c r="J3">
        <v>5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0.32</v>
      </c>
      <c r="T3">
        <v>0</v>
      </c>
      <c r="U3">
        <v>0</v>
      </c>
      <c r="W3">
        <v>0.28571428571428598</v>
      </c>
      <c r="X3">
        <v>0</v>
      </c>
      <c r="Y3">
        <v>0.32</v>
      </c>
    </row>
    <row r="4" spans="1:25" x14ac:dyDescent="0.2">
      <c r="A4" t="s">
        <v>251</v>
      </c>
      <c r="B4" t="s">
        <v>249</v>
      </c>
      <c r="C4" t="s">
        <v>27</v>
      </c>
      <c r="D4">
        <v>16</v>
      </c>
      <c r="E4">
        <v>567</v>
      </c>
      <c r="F4">
        <v>359</v>
      </c>
      <c r="G4">
        <v>4283</v>
      </c>
      <c r="H4">
        <v>35</v>
      </c>
      <c r="I4">
        <v>14</v>
      </c>
      <c r="J4">
        <v>124</v>
      </c>
      <c r="K4">
        <v>762</v>
      </c>
      <c r="L4">
        <v>7</v>
      </c>
      <c r="M4">
        <v>0</v>
      </c>
      <c r="N4">
        <v>0</v>
      </c>
      <c r="O4">
        <v>0</v>
      </c>
      <c r="P4">
        <v>0</v>
      </c>
      <c r="Q4">
        <v>5</v>
      </c>
      <c r="R4">
        <v>2</v>
      </c>
      <c r="S4">
        <v>395.52</v>
      </c>
      <c r="T4">
        <v>0</v>
      </c>
      <c r="U4">
        <v>6.1451612903225801</v>
      </c>
      <c r="W4">
        <v>0.63315696649029996</v>
      </c>
      <c r="X4">
        <v>6.1728395061728399E-2</v>
      </c>
      <c r="Y4">
        <v>409.52</v>
      </c>
    </row>
    <row r="5" spans="1:25" x14ac:dyDescent="0.2">
      <c r="A5" t="s">
        <v>252</v>
      </c>
      <c r="B5" t="s">
        <v>249</v>
      </c>
      <c r="C5" t="s">
        <v>32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0.4</v>
      </c>
      <c r="T5">
        <v>0</v>
      </c>
      <c r="U5">
        <v>2</v>
      </c>
      <c r="Y5">
        <v>0.4</v>
      </c>
    </row>
    <row r="6" spans="1:25" x14ac:dyDescent="0.2">
      <c r="A6" t="s">
        <v>253</v>
      </c>
      <c r="B6" t="s">
        <v>249</v>
      </c>
      <c r="C6" t="s">
        <v>32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177</v>
      </c>
      <c r="K6">
        <v>819</v>
      </c>
      <c r="L6">
        <v>5</v>
      </c>
      <c r="M6">
        <v>52</v>
      </c>
      <c r="N6">
        <v>38</v>
      </c>
      <c r="O6">
        <v>280</v>
      </c>
      <c r="P6">
        <v>1</v>
      </c>
      <c r="Q6">
        <v>3</v>
      </c>
      <c r="R6">
        <v>0</v>
      </c>
      <c r="S6">
        <v>177.9</v>
      </c>
      <c r="T6">
        <v>0.10655737704918</v>
      </c>
      <c r="U6">
        <v>4.6271186440678003</v>
      </c>
      <c r="V6">
        <v>7.3684210526315796</v>
      </c>
      <c r="Y6">
        <v>158.9</v>
      </c>
    </row>
    <row r="7" spans="1:25" x14ac:dyDescent="0.2">
      <c r="A7" t="s">
        <v>254</v>
      </c>
      <c r="B7" t="s">
        <v>249</v>
      </c>
      <c r="C7" t="s">
        <v>32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89</v>
      </c>
      <c r="K7">
        <v>507</v>
      </c>
      <c r="L7">
        <v>2</v>
      </c>
      <c r="M7">
        <v>32</v>
      </c>
      <c r="N7">
        <v>21</v>
      </c>
      <c r="O7">
        <v>180</v>
      </c>
      <c r="P7">
        <v>1</v>
      </c>
      <c r="Q7">
        <v>1</v>
      </c>
      <c r="R7">
        <v>0</v>
      </c>
      <c r="S7">
        <v>105.7</v>
      </c>
      <c r="T7">
        <v>6.5573770491803296E-2</v>
      </c>
      <c r="U7">
        <v>5.69662921348315</v>
      </c>
      <c r="V7">
        <v>8.5714285714285694</v>
      </c>
      <c r="Y7">
        <v>95.2</v>
      </c>
    </row>
    <row r="8" spans="1:25" x14ac:dyDescent="0.2">
      <c r="A8" t="s">
        <v>255</v>
      </c>
      <c r="B8" t="s">
        <v>249</v>
      </c>
      <c r="C8" t="s">
        <v>32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-3</v>
      </c>
      <c r="L8">
        <v>0</v>
      </c>
      <c r="M8">
        <v>9</v>
      </c>
      <c r="N8">
        <v>5</v>
      </c>
      <c r="O8">
        <v>53</v>
      </c>
      <c r="P8">
        <v>1</v>
      </c>
      <c r="Q8">
        <v>0</v>
      </c>
      <c r="R8">
        <v>0</v>
      </c>
      <c r="S8">
        <v>28</v>
      </c>
      <c r="T8">
        <v>1.84426229508197E-2</v>
      </c>
      <c r="U8">
        <v>-0.5</v>
      </c>
      <c r="V8">
        <v>10.6</v>
      </c>
      <c r="Y8">
        <v>13.5</v>
      </c>
    </row>
    <row r="9" spans="1:25" x14ac:dyDescent="0.2">
      <c r="A9" t="s">
        <v>256</v>
      </c>
      <c r="B9" t="s">
        <v>249</v>
      </c>
      <c r="C9" t="s">
        <v>32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17</v>
      </c>
      <c r="K9">
        <v>91</v>
      </c>
      <c r="L9">
        <v>0</v>
      </c>
      <c r="M9">
        <v>8</v>
      </c>
      <c r="N9">
        <v>7</v>
      </c>
      <c r="O9">
        <v>27</v>
      </c>
      <c r="P9">
        <v>0</v>
      </c>
      <c r="Q9">
        <v>1</v>
      </c>
      <c r="R9">
        <v>0</v>
      </c>
      <c r="S9">
        <v>16.8</v>
      </c>
      <c r="T9">
        <v>1.63934426229508E-2</v>
      </c>
      <c r="U9">
        <v>5.3529411764705896</v>
      </c>
      <c r="V9">
        <v>3.8571428571428599</v>
      </c>
      <c r="Y9">
        <v>13.3</v>
      </c>
    </row>
    <row r="10" spans="1:25" x14ac:dyDescent="0.2">
      <c r="A10" t="s">
        <v>257</v>
      </c>
      <c r="B10" t="s">
        <v>249</v>
      </c>
      <c r="C10" t="s">
        <v>39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48</v>
      </c>
      <c r="O10">
        <v>517</v>
      </c>
      <c r="P10">
        <v>6</v>
      </c>
      <c r="Q10">
        <v>0</v>
      </c>
      <c r="R10">
        <v>0</v>
      </c>
      <c r="S10">
        <v>135.69999999999999</v>
      </c>
      <c r="T10">
        <v>0.133196721311475</v>
      </c>
      <c r="V10">
        <v>10.7708333333333</v>
      </c>
      <c r="Y10">
        <v>111.7</v>
      </c>
    </row>
    <row r="11" spans="1:25" x14ac:dyDescent="0.2">
      <c r="A11" t="s">
        <v>258</v>
      </c>
      <c r="B11" t="s">
        <v>249</v>
      </c>
      <c r="C11" t="s">
        <v>39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8</v>
      </c>
      <c r="O11">
        <v>84</v>
      </c>
      <c r="P11">
        <v>1</v>
      </c>
      <c r="Q11">
        <v>0</v>
      </c>
      <c r="R11">
        <v>0</v>
      </c>
      <c r="S11">
        <v>20.399999999999999</v>
      </c>
      <c r="T11">
        <v>2.2540983606557399E-2</v>
      </c>
      <c r="V11">
        <v>10.5</v>
      </c>
      <c r="Y11">
        <v>18.399999999999999</v>
      </c>
    </row>
    <row r="12" spans="1:25" x14ac:dyDescent="0.2">
      <c r="A12" t="s">
        <v>259</v>
      </c>
      <c r="B12" t="s">
        <v>249</v>
      </c>
      <c r="C12" t="s">
        <v>39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7</v>
      </c>
      <c r="P12">
        <v>0</v>
      </c>
      <c r="Q12">
        <v>0</v>
      </c>
      <c r="R12">
        <v>0</v>
      </c>
      <c r="S12">
        <v>1.7</v>
      </c>
      <c r="T12">
        <v>2.04918032786885E-3</v>
      </c>
      <c r="V12">
        <v>7</v>
      </c>
      <c r="Y12">
        <v>1.2</v>
      </c>
    </row>
    <row r="13" spans="1:25" x14ac:dyDescent="0.2">
      <c r="A13" t="s">
        <v>260</v>
      </c>
      <c r="B13" t="s">
        <v>249</v>
      </c>
      <c r="C13" t="s">
        <v>44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18</v>
      </c>
      <c r="P13">
        <v>0</v>
      </c>
      <c r="Q13">
        <v>0</v>
      </c>
      <c r="R13">
        <v>0</v>
      </c>
      <c r="S13">
        <v>3.8</v>
      </c>
      <c r="T13">
        <v>4.0983606557377103E-3</v>
      </c>
      <c r="V13">
        <v>9</v>
      </c>
      <c r="Y13">
        <v>2.8</v>
      </c>
    </row>
    <row r="14" spans="1:25" x14ac:dyDescent="0.2">
      <c r="A14" t="s">
        <v>261</v>
      </c>
      <c r="B14" t="s">
        <v>249</v>
      </c>
      <c r="C14" t="s">
        <v>44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93</v>
      </c>
      <c r="N14">
        <v>48</v>
      </c>
      <c r="O14">
        <v>836</v>
      </c>
      <c r="P14">
        <v>7</v>
      </c>
      <c r="Q14">
        <v>0</v>
      </c>
      <c r="R14">
        <v>0</v>
      </c>
      <c r="S14">
        <v>171.6</v>
      </c>
      <c r="T14">
        <v>0.19057377049180299</v>
      </c>
      <c r="V14">
        <v>17.4166666666667</v>
      </c>
      <c r="Y14">
        <v>149.6</v>
      </c>
    </row>
    <row r="15" spans="1:25" x14ac:dyDescent="0.2">
      <c r="A15" t="s">
        <v>262</v>
      </c>
      <c r="B15" t="s">
        <v>249</v>
      </c>
      <c r="C15" t="s">
        <v>44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6</v>
      </c>
      <c r="N15">
        <v>4</v>
      </c>
      <c r="O15">
        <v>41</v>
      </c>
      <c r="P15">
        <v>0</v>
      </c>
      <c r="Q15">
        <v>0</v>
      </c>
      <c r="R15">
        <v>0</v>
      </c>
      <c r="S15">
        <v>8.1</v>
      </c>
      <c r="T15">
        <v>1.2295081967213101E-2</v>
      </c>
      <c r="V15">
        <v>10.25</v>
      </c>
      <c r="Y15">
        <v>6.1</v>
      </c>
    </row>
    <row r="16" spans="1:25" x14ac:dyDescent="0.2">
      <c r="A16" t="s">
        <v>263</v>
      </c>
      <c r="B16" t="s">
        <v>249</v>
      </c>
      <c r="C16" t="s">
        <v>44</v>
      </c>
      <c r="D16">
        <v>15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55</v>
      </c>
      <c r="L16">
        <v>1</v>
      </c>
      <c r="M16">
        <v>65</v>
      </c>
      <c r="N16">
        <v>42</v>
      </c>
      <c r="O16">
        <v>423</v>
      </c>
      <c r="P16">
        <v>4</v>
      </c>
      <c r="Q16">
        <v>0</v>
      </c>
      <c r="R16">
        <v>0</v>
      </c>
      <c r="S16">
        <v>119.8</v>
      </c>
      <c r="T16">
        <v>0.133196721311475</v>
      </c>
      <c r="U16">
        <v>6.1111111111111098</v>
      </c>
      <c r="V16">
        <v>10.0714285714286</v>
      </c>
      <c r="Y16">
        <v>98.8</v>
      </c>
    </row>
    <row r="17" spans="1:25" x14ac:dyDescent="0.2">
      <c r="A17" t="s">
        <v>264</v>
      </c>
      <c r="B17" t="s">
        <v>249</v>
      </c>
      <c r="C17" t="s">
        <v>44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42</v>
      </c>
      <c r="P17">
        <v>1</v>
      </c>
      <c r="Q17">
        <v>0</v>
      </c>
      <c r="R17">
        <v>0</v>
      </c>
      <c r="S17">
        <v>11.2</v>
      </c>
      <c r="T17">
        <v>4.0983606557377103E-3</v>
      </c>
      <c r="V17">
        <v>42</v>
      </c>
      <c r="Y17">
        <v>10.7</v>
      </c>
    </row>
    <row r="18" spans="1:25" x14ac:dyDescent="0.2">
      <c r="A18" t="s">
        <v>265</v>
      </c>
      <c r="B18" t="s">
        <v>249</v>
      </c>
      <c r="C18" t="s">
        <v>44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13</v>
      </c>
      <c r="N18">
        <v>6</v>
      </c>
      <c r="O18">
        <v>60</v>
      </c>
      <c r="P18">
        <v>0</v>
      </c>
      <c r="Q18">
        <v>0</v>
      </c>
      <c r="R18">
        <v>0</v>
      </c>
      <c r="S18">
        <v>12</v>
      </c>
      <c r="T18">
        <v>2.6639344262295101E-2</v>
      </c>
      <c r="V18">
        <v>10</v>
      </c>
      <c r="Y18">
        <v>9</v>
      </c>
    </row>
    <row r="19" spans="1:25" x14ac:dyDescent="0.2">
      <c r="A19" t="s">
        <v>266</v>
      </c>
      <c r="B19" t="s">
        <v>249</v>
      </c>
      <c r="C19" t="s">
        <v>44</v>
      </c>
      <c r="D19">
        <v>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7</v>
      </c>
      <c r="N19">
        <v>4</v>
      </c>
      <c r="O19">
        <v>64</v>
      </c>
      <c r="P19">
        <v>0</v>
      </c>
      <c r="Q19">
        <v>0</v>
      </c>
      <c r="R19">
        <v>0</v>
      </c>
      <c r="S19">
        <v>10.4</v>
      </c>
      <c r="T19">
        <v>1.4344262295082E-2</v>
      </c>
      <c r="V19">
        <v>16</v>
      </c>
      <c r="Y19">
        <v>8.4</v>
      </c>
    </row>
    <row r="20" spans="1:25" x14ac:dyDescent="0.2">
      <c r="A20" t="s">
        <v>267</v>
      </c>
      <c r="B20" t="s">
        <v>249</v>
      </c>
      <c r="C20" t="s">
        <v>44</v>
      </c>
      <c r="D20">
        <v>10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20</v>
      </c>
      <c r="N20">
        <v>10</v>
      </c>
      <c r="O20">
        <v>161</v>
      </c>
      <c r="P20">
        <v>1</v>
      </c>
      <c r="Q20">
        <v>0</v>
      </c>
      <c r="R20">
        <v>0</v>
      </c>
      <c r="S20">
        <v>34.1</v>
      </c>
      <c r="T20">
        <v>4.0983606557376998E-2</v>
      </c>
      <c r="V20">
        <v>16.100000000000001</v>
      </c>
      <c r="Y20">
        <v>27.1</v>
      </c>
    </row>
    <row r="21" spans="1:25" x14ac:dyDescent="0.2">
      <c r="A21" t="s">
        <v>268</v>
      </c>
      <c r="B21" t="s">
        <v>249</v>
      </c>
      <c r="C21" t="s">
        <v>44</v>
      </c>
      <c r="D21"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-3</v>
      </c>
      <c r="L21">
        <v>0</v>
      </c>
      <c r="M21">
        <v>154</v>
      </c>
      <c r="N21">
        <v>108</v>
      </c>
      <c r="O21">
        <v>1429</v>
      </c>
      <c r="P21">
        <v>11</v>
      </c>
      <c r="Q21">
        <v>0</v>
      </c>
      <c r="R21">
        <v>0</v>
      </c>
      <c r="S21">
        <v>316.60000000000002</v>
      </c>
      <c r="T21">
        <v>0.31557377049180302</v>
      </c>
      <c r="U21">
        <v>-3</v>
      </c>
      <c r="V21">
        <v>13.2314814814815</v>
      </c>
      <c r="Y21">
        <v>262.60000000000002</v>
      </c>
    </row>
    <row r="22" spans="1:25" x14ac:dyDescent="0.2">
      <c r="A22" t="s">
        <v>269</v>
      </c>
      <c r="B22" t="s">
        <v>249</v>
      </c>
      <c r="C22" t="s">
        <v>44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2.04918032786885E-3</v>
      </c>
      <c r="Y22">
        <v>0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249</v>
      </c>
      <c r="B31">
        <v>6523</v>
      </c>
      <c r="C31">
        <v>4291</v>
      </c>
      <c r="D31">
        <v>430</v>
      </c>
      <c r="E31">
        <v>2232</v>
      </c>
      <c r="F31">
        <v>15</v>
      </c>
      <c r="G31">
        <v>1590.94</v>
      </c>
      <c r="H31">
        <v>574</v>
      </c>
      <c r="I31">
        <v>0.62891986062717797</v>
      </c>
      <c r="J31">
        <v>35</v>
      </c>
      <c r="K31">
        <v>14</v>
      </c>
      <c r="L31">
        <v>10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270</v>
      </c>
      <c r="B36" t="s">
        <v>27</v>
      </c>
      <c r="C36">
        <v>27</v>
      </c>
      <c r="D36">
        <v>6</v>
      </c>
      <c r="E36" t="s">
        <v>271</v>
      </c>
      <c r="F36" t="s">
        <v>249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272</v>
      </c>
      <c r="B37" t="s">
        <v>27</v>
      </c>
      <c r="C37">
        <v>27</v>
      </c>
      <c r="D37">
        <v>5</v>
      </c>
      <c r="E37" t="s">
        <v>71</v>
      </c>
      <c r="F37" t="s">
        <v>249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273</v>
      </c>
      <c r="B38" t="s">
        <v>27</v>
      </c>
      <c r="C38">
        <v>32</v>
      </c>
      <c r="D38">
        <v>10</v>
      </c>
      <c r="E38" t="s">
        <v>79</v>
      </c>
      <c r="F38" t="s">
        <v>249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274</v>
      </c>
      <c r="B39" t="s">
        <v>32</v>
      </c>
      <c r="C39">
        <v>23</v>
      </c>
      <c r="D39">
        <v>2</v>
      </c>
      <c r="E39" t="s">
        <v>171</v>
      </c>
      <c r="F39" t="s">
        <v>249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275</v>
      </c>
      <c r="B40" t="s">
        <v>32</v>
      </c>
      <c r="C40">
        <v>26</v>
      </c>
      <c r="D40">
        <v>5</v>
      </c>
      <c r="E40" t="s">
        <v>153</v>
      </c>
      <c r="F40" t="s">
        <v>249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276</v>
      </c>
      <c r="B41" t="s">
        <v>32</v>
      </c>
      <c r="C41">
        <v>26</v>
      </c>
      <c r="D41">
        <v>6</v>
      </c>
      <c r="E41" t="s">
        <v>277</v>
      </c>
      <c r="F41" t="s">
        <v>249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278</v>
      </c>
      <c r="B42" t="s">
        <v>32</v>
      </c>
      <c r="C42">
        <v>24</v>
      </c>
      <c r="D42">
        <v>0</v>
      </c>
      <c r="E42" t="s">
        <v>279</v>
      </c>
      <c r="F42" t="s">
        <v>249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280</v>
      </c>
      <c r="B43" t="s">
        <v>32</v>
      </c>
      <c r="C43">
        <v>33</v>
      </c>
      <c r="D43">
        <v>11</v>
      </c>
      <c r="E43" t="s">
        <v>281</v>
      </c>
      <c r="F43" t="s">
        <v>249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282</v>
      </c>
      <c r="B44" t="s">
        <v>44</v>
      </c>
      <c r="C44">
        <v>24</v>
      </c>
      <c r="D44">
        <v>2</v>
      </c>
      <c r="E44" t="s">
        <v>283</v>
      </c>
      <c r="F44" t="s">
        <v>249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284</v>
      </c>
      <c r="B45" t="s">
        <v>44</v>
      </c>
      <c r="C45">
        <v>24</v>
      </c>
      <c r="D45">
        <v>4</v>
      </c>
      <c r="E45" t="s">
        <v>281</v>
      </c>
      <c r="F45" t="s">
        <v>249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285</v>
      </c>
      <c r="B46" t="s">
        <v>44</v>
      </c>
      <c r="C46">
        <v>29</v>
      </c>
      <c r="D46">
        <v>9</v>
      </c>
      <c r="E46" t="s">
        <v>227</v>
      </c>
      <c r="F46" t="s">
        <v>249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286</v>
      </c>
      <c r="B47" t="s">
        <v>44</v>
      </c>
      <c r="C47">
        <v>25</v>
      </c>
      <c r="D47">
        <v>5</v>
      </c>
      <c r="E47" t="s">
        <v>287</v>
      </c>
      <c r="F47" t="s">
        <v>249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288</v>
      </c>
      <c r="B48" t="s">
        <v>44</v>
      </c>
      <c r="C48">
        <v>24</v>
      </c>
      <c r="D48">
        <v>0</v>
      </c>
      <c r="E48" t="s">
        <v>213</v>
      </c>
      <c r="F48" t="s">
        <v>249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289</v>
      </c>
      <c r="B49" t="s">
        <v>44</v>
      </c>
      <c r="C49">
        <v>26</v>
      </c>
      <c r="D49">
        <v>3</v>
      </c>
      <c r="E49" t="s">
        <v>279</v>
      </c>
      <c r="F49" t="s">
        <v>249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290</v>
      </c>
      <c r="B50" t="s">
        <v>44</v>
      </c>
      <c r="C50">
        <v>24</v>
      </c>
      <c r="D50">
        <v>3</v>
      </c>
      <c r="E50" t="s">
        <v>291</v>
      </c>
      <c r="F50" t="s">
        <v>249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292</v>
      </c>
      <c r="B51" t="s">
        <v>44</v>
      </c>
      <c r="C51">
        <v>23</v>
      </c>
      <c r="D51">
        <v>2</v>
      </c>
      <c r="E51" t="s">
        <v>293</v>
      </c>
      <c r="F51" t="s">
        <v>249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294</v>
      </c>
      <c r="B52" t="s">
        <v>44</v>
      </c>
      <c r="C52">
        <v>23</v>
      </c>
      <c r="D52">
        <v>0</v>
      </c>
      <c r="E52" t="s">
        <v>295</v>
      </c>
      <c r="F52" t="s">
        <v>249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296</v>
      </c>
      <c r="B53" t="s">
        <v>44</v>
      </c>
      <c r="C53">
        <v>27</v>
      </c>
      <c r="D53">
        <v>6</v>
      </c>
      <c r="E53" t="s">
        <v>104</v>
      </c>
      <c r="F53" t="s">
        <v>249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297</v>
      </c>
      <c r="B54" t="s">
        <v>44</v>
      </c>
      <c r="C54">
        <v>23</v>
      </c>
      <c r="D54">
        <v>0</v>
      </c>
      <c r="E54" t="s">
        <v>176</v>
      </c>
      <c r="F54" t="s">
        <v>249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298</v>
      </c>
      <c r="B55" t="s">
        <v>44</v>
      </c>
      <c r="C55">
        <v>24</v>
      </c>
      <c r="D55">
        <v>0</v>
      </c>
      <c r="E55" t="s">
        <v>155</v>
      </c>
      <c r="F55" t="s">
        <v>249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299</v>
      </c>
      <c r="B56" t="s">
        <v>44</v>
      </c>
      <c r="C56">
        <v>24</v>
      </c>
      <c r="D56">
        <v>0</v>
      </c>
      <c r="E56" t="s">
        <v>300</v>
      </c>
      <c r="F56" t="s">
        <v>249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301</v>
      </c>
      <c r="B57" t="s">
        <v>39</v>
      </c>
      <c r="C57">
        <v>24</v>
      </c>
      <c r="D57">
        <v>1</v>
      </c>
      <c r="E57" t="s">
        <v>302</v>
      </c>
      <c r="F57" t="s">
        <v>249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303</v>
      </c>
      <c r="B58" t="s">
        <v>39</v>
      </c>
      <c r="C58">
        <v>27</v>
      </c>
      <c r="D58">
        <v>1</v>
      </c>
      <c r="E58" t="s">
        <v>304</v>
      </c>
      <c r="F58" t="s">
        <v>249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305</v>
      </c>
      <c r="B59" t="s">
        <v>39</v>
      </c>
      <c r="C59">
        <v>23</v>
      </c>
      <c r="D59">
        <v>0</v>
      </c>
      <c r="E59" t="s">
        <v>203</v>
      </c>
      <c r="F59" t="s">
        <v>249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306</v>
      </c>
      <c r="B60" t="s">
        <v>39</v>
      </c>
      <c r="C60">
        <v>26</v>
      </c>
      <c r="D60">
        <v>5</v>
      </c>
      <c r="E60" t="s">
        <v>239</v>
      </c>
      <c r="F60" t="s">
        <v>249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307</v>
      </c>
      <c r="B61" t="s">
        <v>39</v>
      </c>
      <c r="C61">
        <v>24</v>
      </c>
      <c r="D61">
        <v>2</v>
      </c>
      <c r="E61" t="s">
        <v>168</v>
      </c>
      <c r="F61" t="s">
        <v>249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308</v>
      </c>
      <c r="B62" t="s">
        <v>39</v>
      </c>
      <c r="C62">
        <v>23</v>
      </c>
      <c r="D62">
        <v>0</v>
      </c>
      <c r="E62" t="s">
        <v>309</v>
      </c>
      <c r="F62" t="s">
        <v>249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310</v>
      </c>
      <c r="B2" t="s">
        <v>311</v>
      </c>
      <c r="C2" t="s">
        <v>27</v>
      </c>
      <c r="D2">
        <v>7</v>
      </c>
      <c r="E2">
        <v>206</v>
      </c>
      <c r="F2">
        <v>119</v>
      </c>
      <c r="G2">
        <v>1313</v>
      </c>
      <c r="H2">
        <v>6</v>
      </c>
      <c r="I2">
        <v>6</v>
      </c>
      <c r="J2">
        <v>16</v>
      </c>
      <c r="K2">
        <v>52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73.72</v>
      </c>
      <c r="T2">
        <v>0</v>
      </c>
      <c r="U2">
        <v>3.25</v>
      </c>
      <c r="W2">
        <v>0.57766990291262099</v>
      </c>
      <c r="X2">
        <v>2.9126213592233E-2</v>
      </c>
      <c r="Y2">
        <v>79.72</v>
      </c>
    </row>
    <row r="3" spans="1:25" x14ac:dyDescent="0.2">
      <c r="A3" t="s">
        <v>312</v>
      </c>
      <c r="B3" t="s">
        <v>311</v>
      </c>
      <c r="C3" t="s">
        <v>27</v>
      </c>
      <c r="D3">
        <v>1</v>
      </c>
      <c r="E3">
        <v>5</v>
      </c>
      <c r="F3">
        <v>3</v>
      </c>
      <c r="G3">
        <v>59</v>
      </c>
      <c r="H3">
        <v>0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0.36</v>
      </c>
      <c r="T3">
        <v>0</v>
      </c>
      <c r="W3">
        <v>0.6</v>
      </c>
      <c r="X3">
        <v>0</v>
      </c>
      <c r="Y3">
        <v>1.36</v>
      </c>
    </row>
    <row r="4" spans="1:25" x14ac:dyDescent="0.2">
      <c r="A4" t="s">
        <v>313</v>
      </c>
      <c r="B4" t="s">
        <v>311</v>
      </c>
      <c r="C4" t="s">
        <v>27</v>
      </c>
      <c r="D4">
        <v>6</v>
      </c>
      <c r="E4">
        <v>106</v>
      </c>
      <c r="F4">
        <v>63</v>
      </c>
      <c r="G4">
        <v>731</v>
      </c>
      <c r="H4">
        <v>3</v>
      </c>
      <c r="I4">
        <v>3</v>
      </c>
      <c r="J4">
        <v>6</v>
      </c>
      <c r="K4">
        <v>39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39.14</v>
      </c>
      <c r="T4">
        <v>0</v>
      </c>
      <c r="U4">
        <v>6.5</v>
      </c>
      <c r="W4">
        <v>0.59433962264150897</v>
      </c>
      <c r="X4">
        <v>2.83018867924528E-2</v>
      </c>
      <c r="Y4">
        <v>42.14</v>
      </c>
    </row>
    <row r="5" spans="1:25" x14ac:dyDescent="0.2">
      <c r="A5" t="s">
        <v>314</v>
      </c>
      <c r="B5" t="s">
        <v>311</v>
      </c>
      <c r="C5" t="s">
        <v>27</v>
      </c>
      <c r="D5">
        <v>6</v>
      </c>
      <c r="E5">
        <v>140</v>
      </c>
      <c r="F5">
        <v>82</v>
      </c>
      <c r="G5">
        <v>1143</v>
      </c>
      <c r="H5">
        <v>7</v>
      </c>
      <c r="I5">
        <v>3</v>
      </c>
      <c r="J5">
        <v>26</v>
      </c>
      <c r="K5">
        <v>106</v>
      </c>
      <c r="L5">
        <v>2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86.32</v>
      </c>
      <c r="T5">
        <v>0</v>
      </c>
      <c r="U5">
        <v>4.0769230769230802</v>
      </c>
      <c r="W5">
        <v>0.58571428571428596</v>
      </c>
      <c r="X5">
        <v>0.05</v>
      </c>
      <c r="Y5">
        <v>89.32</v>
      </c>
    </row>
    <row r="6" spans="1:25" x14ac:dyDescent="0.2">
      <c r="A6" t="s">
        <v>315</v>
      </c>
      <c r="B6" t="s">
        <v>311</v>
      </c>
      <c r="C6" t="s">
        <v>32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466</v>
      </c>
      <c r="L6">
        <v>2</v>
      </c>
      <c r="M6">
        <v>17</v>
      </c>
      <c r="N6">
        <v>14</v>
      </c>
      <c r="O6">
        <v>171</v>
      </c>
      <c r="P6">
        <v>0</v>
      </c>
      <c r="Q6">
        <v>0</v>
      </c>
      <c r="R6">
        <v>0</v>
      </c>
      <c r="S6">
        <v>89.7</v>
      </c>
      <c r="T6">
        <v>2.9616724738675999E-2</v>
      </c>
      <c r="U6">
        <v>4.9052631578947397</v>
      </c>
      <c r="V6">
        <v>12.214285714285699</v>
      </c>
      <c r="Y6">
        <v>82.7</v>
      </c>
    </row>
    <row r="7" spans="1:25" x14ac:dyDescent="0.2">
      <c r="A7" t="s">
        <v>316</v>
      </c>
      <c r="B7" t="s">
        <v>311</v>
      </c>
      <c r="C7" t="s">
        <v>32</v>
      </c>
      <c r="D7">
        <v>6</v>
      </c>
      <c r="E7">
        <v>0</v>
      </c>
      <c r="F7">
        <v>0</v>
      </c>
      <c r="G7">
        <v>0</v>
      </c>
      <c r="H7">
        <v>0</v>
      </c>
      <c r="I7">
        <v>0</v>
      </c>
      <c r="J7">
        <v>85</v>
      </c>
      <c r="K7">
        <v>393</v>
      </c>
      <c r="L7">
        <v>2</v>
      </c>
      <c r="M7">
        <v>43</v>
      </c>
      <c r="N7">
        <v>33</v>
      </c>
      <c r="O7">
        <v>277</v>
      </c>
      <c r="P7">
        <v>1</v>
      </c>
      <c r="Q7">
        <v>0</v>
      </c>
      <c r="R7">
        <v>0</v>
      </c>
      <c r="S7">
        <v>118</v>
      </c>
      <c r="T7">
        <v>7.4912891986062699E-2</v>
      </c>
      <c r="U7">
        <v>4.6235294117647099</v>
      </c>
      <c r="V7">
        <v>8.3939393939393891</v>
      </c>
      <c r="Y7">
        <v>101.5</v>
      </c>
    </row>
    <row r="8" spans="1:25" x14ac:dyDescent="0.2">
      <c r="A8" t="s">
        <v>317</v>
      </c>
      <c r="B8" t="s">
        <v>311</v>
      </c>
      <c r="C8" t="s">
        <v>32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203</v>
      </c>
      <c r="K8">
        <v>914</v>
      </c>
      <c r="L8">
        <v>5</v>
      </c>
      <c r="M8">
        <v>9</v>
      </c>
      <c r="N8">
        <v>5</v>
      </c>
      <c r="O8">
        <v>26</v>
      </c>
      <c r="P8">
        <v>0</v>
      </c>
      <c r="Q8">
        <v>0</v>
      </c>
      <c r="R8">
        <v>1</v>
      </c>
      <c r="S8">
        <v>131</v>
      </c>
      <c r="T8">
        <v>1.5679442508710801E-2</v>
      </c>
      <c r="U8">
        <v>4.5024630541871904</v>
      </c>
      <c r="V8">
        <v>5.2</v>
      </c>
      <c r="Y8">
        <v>128.5</v>
      </c>
    </row>
    <row r="9" spans="1:25" x14ac:dyDescent="0.2">
      <c r="A9" t="s">
        <v>318</v>
      </c>
      <c r="B9" t="s">
        <v>311</v>
      </c>
      <c r="C9" t="s">
        <v>32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23</v>
      </c>
      <c r="K9">
        <v>77</v>
      </c>
      <c r="L9">
        <v>3</v>
      </c>
      <c r="M9">
        <v>12</v>
      </c>
      <c r="N9">
        <v>10</v>
      </c>
      <c r="O9">
        <v>93</v>
      </c>
      <c r="P9">
        <v>0</v>
      </c>
      <c r="Q9">
        <v>0</v>
      </c>
      <c r="R9">
        <v>0</v>
      </c>
      <c r="S9">
        <v>45</v>
      </c>
      <c r="T9">
        <v>2.0905923344947699E-2</v>
      </c>
      <c r="U9">
        <v>3.3478260869565202</v>
      </c>
      <c r="V9">
        <v>9.3000000000000007</v>
      </c>
      <c r="Y9">
        <v>40</v>
      </c>
    </row>
    <row r="10" spans="1:25" x14ac:dyDescent="0.2">
      <c r="A10" t="s">
        <v>319</v>
      </c>
      <c r="B10" t="s">
        <v>311</v>
      </c>
      <c r="C10" t="s">
        <v>32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43</v>
      </c>
      <c r="L10">
        <v>0</v>
      </c>
      <c r="M10">
        <v>4</v>
      </c>
      <c r="N10">
        <v>2</v>
      </c>
      <c r="O10">
        <v>10</v>
      </c>
      <c r="P10">
        <v>0</v>
      </c>
      <c r="Q10">
        <v>0</v>
      </c>
      <c r="R10">
        <v>0</v>
      </c>
      <c r="S10">
        <v>7.3</v>
      </c>
      <c r="T10">
        <v>6.9686411149825801E-3</v>
      </c>
      <c r="U10">
        <v>4.7777777777777803</v>
      </c>
      <c r="V10">
        <v>5</v>
      </c>
      <c r="Y10">
        <v>6.3</v>
      </c>
    </row>
    <row r="11" spans="1:25" x14ac:dyDescent="0.2">
      <c r="A11" t="s">
        <v>320</v>
      </c>
      <c r="B11" t="s">
        <v>311</v>
      </c>
      <c r="C11" t="s">
        <v>39</v>
      </c>
      <c r="D11">
        <v>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9</v>
      </c>
      <c r="N11">
        <v>8</v>
      </c>
      <c r="O11">
        <v>100</v>
      </c>
      <c r="P11">
        <v>0</v>
      </c>
      <c r="Q11">
        <v>0</v>
      </c>
      <c r="R11">
        <v>0</v>
      </c>
      <c r="S11">
        <v>18</v>
      </c>
      <c r="T11">
        <v>1.5679442508710801E-2</v>
      </c>
      <c r="V11">
        <v>12.5</v>
      </c>
      <c r="Y11">
        <v>14</v>
      </c>
    </row>
    <row r="12" spans="1:25" x14ac:dyDescent="0.2">
      <c r="A12" t="s">
        <v>321</v>
      </c>
      <c r="B12" t="s">
        <v>311</v>
      </c>
      <c r="C12" t="s">
        <v>39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30</v>
      </c>
      <c r="N12">
        <v>21</v>
      </c>
      <c r="O12">
        <v>197</v>
      </c>
      <c r="P12">
        <v>0</v>
      </c>
      <c r="Q12">
        <v>0</v>
      </c>
      <c r="R12">
        <v>0</v>
      </c>
      <c r="S12">
        <v>40.700000000000003</v>
      </c>
      <c r="T12">
        <v>5.2264808362369297E-2</v>
      </c>
      <c r="V12">
        <v>9.3809523809523796</v>
      </c>
      <c r="Y12">
        <v>30.2</v>
      </c>
    </row>
    <row r="13" spans="1:25" x14ac:dyDescent="0.2">
      <c r="A13" t="s">
        <v>322</v>
      </c>
      <c r="B13" t="s">
        <v>311</v>
      </c>
      <c r="C13" t="s">
        <v>39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6</v>
      </c>
      <c r="N13">
        <v>2</v>
      </c>
      <c r="O13">
        <v>46</v>
      </c>
      <c r="P13">
        <v>0</v>
      </c>
      <c r="Q13">
        <v>0</v>
      </c>
      <c r="R13">
        <v>0</v>
      </c>
      <c r="S13">
        <v>6.6</v>
      </c>
      <c r="T13">
        <v>1.04529616724739E-2</v>
      </c>
      <c r="V13">
        <v>23</v>
      </c>
      <c r="Y13">
        <v>5.6</v>
      </c>
    </row>
    <row r="14" spans="1:25" x14ac:dyDescent="0.2">
      <c r="A14" t="s">
        <v>323</v>
      </c>
      <c r="B14" t="s">
        <v>311</v>
      </c>
      <c r="C14" t="s">
        <v>39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32</v>
      </c>
      <c r="N14">
        <v>19</v>
      </c>
      <c r="O14">
        <v>174</v>
      </c>
      <c r="P14">
        <v>3</v>
      </c>
      <c r="Q14">
        <v>0</v>
      </c>
      <c r="R14">
        <v>0</v>
      </c>
      <c r="S14">
        <v>54.4</v>
      </c>
      <c r="T14">
        <v>5.5749128919860599E-2</v>
      </c>
      <c r="V14">
        <v>9.1578947368421009</v>
      </c>
      <c r="Y14">
        <v>44.9</v>
      </c>
    </row>
    <row r="15" spans="1:25" x14ac:dyDescent="0.2">
      <c r="A15" t="s">
        <v>324</v>
      </c>
      <c r="B15" t="s">
        <v>311</v>
      </c>
      <c r="C15" t="s">
        <v>44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10</v>
      </c>
      <c r="K15">
        <v>53</v>
      </c>
      <c r="L15">
        <v>0</v>
      </c>
      <c r="M15">
        <v>118</v>
      </c>
      <c r="N15">
        <v>63</v>
      </c>
      <c r="O15">
        <v>888</v>
      </c>
      <c r="P15">
        <v>7</v>
      </c>
      <c r="Q15">
        <v>0</v>
      </c>
      <c r="R15">
        <v>0</v>
      </c>
      <c r="S15">
        <v>199.1</v>
      </c>
      <c r="T15">
        <v>0.20557491289198601</v>
      </c>
      <c r="U15">
        <v>5.3</v>
      </c>
      <c r="V15">
        <v>14.0952380952381</v>
      </c>
      <c r="Y15">
        <v>167.6</v>
      </c>
    </row>
    <row r="16" spans="1:25" x14ac:dyDescent="0.2">
      <c r="A16" t="s">
        <v>325</v>
      </c>
      <c r="B16" t="s">
        <v>311</v>
      </c>
      <c r="C16" t="s">
        <v>44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9</v>
      </c>
      <c r="K16">
        <v>65</v>
      </c>
      <c r="L16">
        <v>1</v>
      </c>
      <c r="M16">
        <v>32</v>
      </c>
      <c r="N16">
        <v>27</v>
      </c>
      <c r="O16">
        <v>272</v>
      </c>
      <c r="P16">
        <v>1</v>
      </c>
      <c r="Q16">
        <v>0</v>
      </c>
      <c r="R16">
        <v>0</v>
      </c>
      <c r="S16">
        <v>72.7</v>
      </c>
      <c r="T16">
        <v>5.5749128919860599E-2</v>
      </c>
      <c r="U16">
        <v>7.2222222222222197</v>
      </c>
      <c r="V16">
        <v>10.074074074074099</v>
      </c>
      <c r="Y16">
        <v>59.2</v>
      </c>
    </row>
    <row r="17" spans="1:25" x14ac:dyDescent="0.2">
      <c r="A17" t="s">
        <v>51</v>
      </c>
      <c r="B17" t="s">
        <v>311</v>
      </c>
      <c r="C17" t="s">
        <v>44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27</v>
      </c>
      <c r="N17">
        <v>13</v>
      </c>
      <c r="O17">
        <v>206</v>
      </c>
      <c r="P17">
        <v>1</v>
      </c>
      <c r="Q17">
        <v>0</v>
      </c>
      <c r="R17">
        <v>0</v>
      </c>
      <c r="S17">
        <v>37.6</v>
      </c>
      <c r="T17">
        <v>4.7038327526132399E-2</v>
      </c>
      <c r="V17">
        <v>15.846153846153801</v>
      </c>
      <c r="Y17">
        <v>33.1</v>
      </c>
    </row>
    <row r="18" spans="1:25" x14ac:dyDescent="0.2">
      <c r="A18" t="s">
        <v>326</v>
      </c>
      <c r="B18" t="s">
        <v>311</v>
      </c>
      <c r="C18" t="s">
        <v>44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41</v>
      </c>
      <c r="N18">
        <v>22</v>
      </c>
      <c r="O18">
        <v>296</v>
      </c>
      <c r="P18">
        <v>2</v>
      </c>
      <c r="Q18">
        <v>0</v>
      </c>
      <c r="R18">
        <v>0</v>
      </c>
      <c r="S18">
        <v>61.6</v>
      </c>
      <c r="T18">
        <v>7.1428571428571397E-2</v>
      </c>
      <c r="V18">
        <v>13.454545454545499</v>
      </c>
      <c r="Y18">
        <v>52.6</v>
      </c>
    </row>
    <row r="19" spans="1:25" x14ac:dyDescent="0.2">
      <c r="A19" t="s">
        <v>327</v>
      </c>
      <c r="B19" t="s">
        <v>311</v>
      </c>
      <c r="C19" t="s">
        <v>44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47</v>
      </c>
      <c r="N19">
        <v>28</v>
      </c>
      <c r="O19">
        <v>490</v>
      </c>
      <c r="P19">
        <v>1</v>
      </c>
      <c r="Q19">
        <v>0</v>
      </c>
      <c r="R19">
        <v>0</v>
      </c>
      <c r="S19">
        <v>83</v>
      </c>
      <c r="T19">
        <v>8.1881533101045303E-2</v>
      </c>
      <c r="V19">
        <v>17.5</v>
      </c>
      <c r="Y19">
        <v>69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311</v>
      </c>
      <c r="B31">
        <v>5454</v>
      </c>
      <c r="C31">
        <v>3246</v>
      </c>
      <c r="D31">
        <v>482</v>
      </c>
      <c r="E31">
        <v>2208</v>
      </c>
      <c r="F31">
        <v>16</v>
      </c>
      <c r="G31">
        <v>1164.24</v>
      </c>
      <c r="H31">
        <v>457</v>
      </c>
      <c r="I31">
        <v>0.58424507658643299</v>
      </c>
      <c r="J31">
        <v>16</v>
      </c>
      <c r="K31">
        <v>13</v>
      </c>
      <c r="L31">
        <v>3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328</v>
      </c>
      <c r="B36" t="s">
        <v>27</v>
      </c>
      <c r="C36">
        <v>24</v>
      </c>
      <c r="D36">
        <v>0</v>
      </c>
      <c r="E36" t="s">
        <v>239</v>
      </c>
      <c r="F36" t="s">
        <v>311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329</v>
      </c>
      <c r="B37" t="s">
        <v>27</v>
      </c>
      <c r="C37">
        <v>35</v>
      </c>
      <c r="D37">
        <v>12</v>
      </c>
      <c r="E37" t="s">
        <v>77</v>
      </c>
      <c r="F37" t="s">
        <v>311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330</v>
      </c>
      <c r="B38" t="s">
        <v>27</v>
      </c>
      <c r="C38">
        <v>21</v>
      </c>
      <c r="D38">
        <v>0</v>
      </c>
      <c r="E38" t="s">
        <v>153</v>
      </c>
      <c r="F38" t="s">
        <v>311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331</v>
      </c>
      <c r="B39" t="s">
        <v>32</v>
      </c>
      <c r="C39">
        <v>25</v>
      </c>
      <c r="D39">
        <v>2</v>
      </c>
      <c r="E39" t="s">
        <v>332</v>
      </c>
      <c r="F39" t="s">
        <v>311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333</v>
      </c>
      <c r="B40" t="s">
        <v>32</v>
      </c>
      <c r="C40">
        <v>24</v>
      </c>
      <c r="D40">
        <v>1</v>
      </c>
      <c r="E40" t="s">
        <v>334</v>
      </c>
      <c r="F40" t="s">
        <v>311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335</v>
      </c>
      <c r="B41" t="s">
        <v>32</v>
      </c>
      <c r="C41">
        <v>22</v>
      </c>
      <c r="D41">
        <v>0</v>
      </c>
      <c r="E41" t="s">
        <v>205</v>
      </c>
      <c r="F41" t="s">
        <v>311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336</v>
      </c>
      <c r="B42" t="s">
        <v>32</v>
      </c>
      <c r="C42">
        <v>24</v>
      </c>
      <c r="D42">
        <v>3</v>
      </c>
      <c r="E42" t="s">
        <v>213</v>
      </c>
      <c r="F42" t="s">
        <v>311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337</v>
      </c>
      <c r="B43" t="s">
        <v>32</v>
      </c>
      <c r="C43">
        <v>23</v>
      </c>
      <c r="D43">
        <v>0</v>
      </c>
      <c r="E43" t="s">
        <v>338</v>
      </c>
      <c r="F43" t="s">
        <v>311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339</v>
      </c>
      <c r="B44" t="s">
        <v>32</v>
      </c>
      <c r="C44">
        <v>26</v>
      </c>
      <c r="D44">
        <v>5</v>
      </c>
      <c r="E44" t="s">
        <v>340</v>
      </c>
      <c r="F44" t="s">
        <v>311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341</v>
      </c>
      <c r="B45" t="s">
        <v>44</v>
      </c>
      <c r="C45">
        <v>30</v>
      </c>
      <c r="D45">
        <v>7</v>
      </c>
      <c r="E45" t="s">
        <v>342</v>
      </c>
      <c r="F45" t="s">
        <v>311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343</v>
      </c>
      <c r="B46" t="s">
        <v>44</v>
      </c>
      <c r="C46">
        <v>26</v>
      </c>
      <c r="D46">
        <v>5</v>
      </c>
      <c r="E46" t="s">
        <v>222</v>
      </c>
      <c r="F46" t="s">
        <v>311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344</v>
      </c>
      <c r="B47" t="s">
        <v>44</v>
      </c>
      <c r="C47">
        <v>26</v>
      </c>
      <c r="D47">
        <v>2</v>
      </c>
      <c r="E47" t="s">
        <v>345</v>
      </c>
      <c r="F47" t="s">
        <v>311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346</v>
      </c>
      <c r="B48" t="s">
        <v>44</v>
      </c>
      <c r="C48">
        <v>23</v>
      </c>
      <c r="D48">
        <v>3</v>
      </c>
      <c r="E48" t="s">
        <v>222</v>
      </c>
      <c r="F48" t="s">
        <v>311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347</v>
      </c>
      <c r="B49" t="s">
        <v>44</v>
      </c>
      <c r="C49">
        <v>22</v>
      </c>
      <c r="D49">
        <v>0</v>
      </c>
      <c r="E49" t="s">
        <v>239</v>
      </c>
      <c r="F49" t="s">
        <v>311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348</v>
      </c>
      <c r="B50" t="s">
        <v>44</v>
      </c>
      <c r="C50">
        <v>26</v>
      </c>
      <c r="D50">
        <v>1</v>
      </c>
      <c r="E50" t="s">
        <v>209</v>
      </c>
      <c r="F50" t="s">
        <v>311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349</v>
      </c>
      <c r="B51" t="s">
        <v>44</v>
      </c>
      <c r="C51">
        <v>24</v>
      </c>
      <c r="D51">
        <v>4</v>
      </c>
      <c r="E51" t="s">
        <v>83</v>
      </c>
      <c r="F51" t="s">
        <v>311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350</v>
      </c>
      <c r="B52" t="s">
        <v>44</v>
      </c>
      <c r="C52">
        <v>24</v>
      </c>
      <c r="D52">
        <v>3</v>
      </c>
      <c r="E52" t="s">
        <v>342</v>
      </c>
      <c r="F52" t="s">
        <v>311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351</v>
      </c>
      <c r="B53" t="s">
        <v>44</v>
      </c>
      <c r="C53">
        <v>25</v>
      </c>
      <c r="D53">
        <v>2</v>
      </c>
      <c r="E53" t="s">
        <v>71</v>
      </c>
      <c r="F53" t="s">
        <v>311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352</v>
      </c>
      <c r="B54" t="s">
        <v>44</v>
      </c>
      <c r="C54">
        <v>32</v>
      </c>
      <c r="D54">
        <v>10</v>
      </c>
      <c r="E54" t="s">
        <v>353</v>
      </c>
      <c r="F54" t="s">
        <v>311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354</v>
      </c>
      <c r="B55" t="s">
        <v>44</v>
      </c>
      <c r="C55">
        <v>23</v>
      </c>
      <c r="D55">
        <v>0</v>
      </c>
      <c r="E55" t="s">
        <v>342</v>
      </c>
      <c r="F55" t="s">
        <v>311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355</v>
      </c>
      <c r="B56" t="s">
        <v>44</v>
      </c>
      <c r="C56">
        <v>24</v>
      </c>
      <c r="D56">
        <v>1</v>
      </c>
      <c r="E56" t="s">
        <v>88</v>
      </c>
      <c r="F56" t="s">
        <v>311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356</v>
      </c>
      <c r="B57" t="s">
        <v>39</v>
      </c>
      <c r="C57">
        <v>29</v>
      </c>
      <c r="D57">
        <v>6</v>
      </c>
      <c r="E57" t="s">
        <v>342</v>
      </c>
      <c r="F57" t="s">
        <v>311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357</v>
      </c>
      <c r="B58" t="s">
        <v>39</v>
      </c>
      <c r="C58">
        <v>26</v>
      </c>
      <c r="D58">
        <v>3</v>
      </c>
      <c r="E58" t="s">
        <v>358</v>
      </c>
      <c r="F58" t="s">
        <v>311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359</v>
      </c>
      <c r="B59" t="s">
        <v>39</v>
      </c>
      <c r="C59">
        <v>26</v>
      </c>
      <c r="D59">
        <v>2</v>
      </c>
      <c r="E59" t="s">
        <v>222</v>
      </c>
      <c r="F59" t="s">
        <v>311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360</v>
      </c>
      <c r="B60" t="s">
        <v>39</v>
      </c>
      <c r="C60">
        <v>27</v>
      </c>
      <c r="D60">
        <v>6</v>
      </c>
      <c r="E60" t="s">
        <v>361</v>
      </c>
      <c r="F60" t="s">
        <v>311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362</v>
      </c>
      <c r="B61" t="s">
        <v>39</v>
      </c>
      <c r="C61">
        <v>23</v>
      </c>
      <c r="D61">
        <v>3</v>
      </c>
      <c r="E61" t="s">
        <v>363</v>
      </c>
      <c r="F61" t="s">
        <v>311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364</v>
      </c>
      <c r="B2" t="s">
        <v>365</v>
      </c>
      <c r="C2" t="s">
        <v>112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2.1881838074398201E-3</v>
      </c>
      <c r="Y2">
        <v>0</v>
      </c>
    </row>
    <row r="3" spans="1:25" x14ac:dyDescent="0.2">
      <c r="A3" t="s">
        <v>366</v>
      </c>
      <c r="B3" t="s">
        <v>365</v>
      </c>
      <c r="C3" t="s">
        <v>27</v>
      </c>
      <c r="D3">
        <v>15</v>
      </c>
      <c r="E3">
        <v>318</v>
      </c>
      <c r="F3">
        <v>192</v>
      </c>
      <c r="G3">
        <v>2242</v>
      </c>
      <c r="H3">
        <v>17</v>
      </c>
      <c r="I3">
        <v>11</v>
      </c>
      <c r="J3">
        <v>160</v>
      </c>
      <c r="K3">
        <v>1143</v>
      </c>
      <c r="L3">
        <v>8</v>
      </c>
      <c r="M3">
        <v>0</v>
      </c>
      <c r="N3">
        <v>0</v>
      </c>
      <c r="O3">
        <v>0</v>
      </c>
      <c r="P3">
        <v>0</v>
      </c>
      <c r="Q3">
        <v>2</v>
      </c>
      <c r="R3">
        <v>1</v>
      </c>
      <c r="S3">
        <v>295.98</v>
      </c>
      <c r="T3">
        <v>0</v>
      </c>
      <c r="U3">
        <v>7.1437499999999998</v>
      </c>
      <c r="W3">
        <v>0.60377358490566002</v>
      </c>
      <c r="X3">
        <v>5.3459119496855299E-2</v>
      </c>
      <c r="Y3">
        <v>306.98</v>
      </c>
    </row>
    <row r="4" spans="1:25" x14ac:dyDescent="0.2">
      <c r="A4" t="s">
        <v>367</v>
      </c>
      <c r="B4" t="s">
        <v>365</v>
      </c>
      <c r="C4" t="s">
        <v>27</v>
      </c>
      <c r="D4">
        <v>3</v>
      </c>
      <c r="E4">
        <v>25</v>
      </c>
      <c r="F4">
        <v>14</v>
      </c>
      <c r="G4">
        <v>139</v>
      </c>
      <c r="H4">
        <v>1</v>
      </c>
      <c r="I4">
        <v>1</v>
      </c>
      <c r="J4">
        <v>2</v>
      </c>
      <c r="K4">
        <v>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8.26</v>
      </c>
      <c r="T4">
        <v>0</v>
      </c>
      <c r="U4">
        <v>3.5</v>
      </c>
      <c r="W4">
        <v>0.56000000000000005</v>
      </c>
      <c r="X4">
        <v>0.04</v>
      </c>
      <c r="Y4">
        <v>9.26</v>
      </c>
    </row>
    <row r="5" spans="1:25" x14ac:dyDescent="0.2">
      <c r="A5" t="s">
        <v>368</v>
      </c>
      <c r="B5" t="s">
        <v>365</v>
      </c>
      <c r="C5" t="s">
        <v>27</v>
      </c>
      <c r="D5">
        <v>1</v>
      </c>
      <c r="E5">
        <v>8</v>
      </c>
      <c r="F5">
        <v>2</v>
      </c>
      <c r="G5">
        <v>33</v>
      </c>
      <c r="H5">
        <v>0</v>
      </c>
      <c r="I5">
        <v>2</v>
      </c>
      <c r="J5">
        <v>2</v>
      </c>
      <c r="K5">
        <v>-2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-2.88</v>
      </c>
      <c r="T5">
        <v>0</v>
      </c>
      <c r="U5">
        <v>-1</v>
      </c>
      <c r="W5">
        <v>0.25</v>
      </c>
      <c r="X5">
        <v>0</v>
      </c>
      <c r="Y5">
        <v>-0.88</v>
      </c>
    </row>
    <row r="6" spans="1:25" x14ac:dyDescent="0.2">
      <c r="A6" t="s">
        <v>369</v>
      </c>
      <c r="B6" t="s">
        <v>365</v>
      </c>
      <c r="C6" t="s">
        <v>27</v>
      </c>
      <c r="D6">
        <v>2</v>
      </c>
      <c r="E6">
        <v>26</v>
      </c>
      <c r="F6">
        <v>15</v>
      </c>
      <c r="G6">
        <v>184</v>
      </c>
      <c r="H6">
        <v>1</v>
      </c>
      <c r="I6">
        <v>1</v>
      </c>
      <c r="J6">
        <v>4</v>
      </c>
      <c r="K6">
        <v>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10.16</v>
      </c>
      <c r="T6">
        <v>0</v>
      </c>
      <c r="U6">
        <v>2</v>
      </c>
      <c r="W6">
        <v>0.57692307692307698</v>
      </c>
      <c r="X6">
        <v>3.8461538461538498E-2</v>
      </c>
      <c r="Y6">
        <v>11.16</v>
      </c>
    </row>
    <row r="7" spans="1:25" x14ac:dyDescent="0.2">
      <c r="A7" t="s">
        <v>370</v>
      </c>
      <c r="B7" t="s">
        <v>365</v>
      </c>
      <c r="C7" t="s">
        <v>32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14</v>
      </c>
      <c r="K7">
        <v>64</v>
      </c>
      <c r="L7">
        <v>0</v>
      </c>
      <c r="M7">
        <v>1</v>
      </c>
      <c r="N7">
        <v>1</v>
      </c>
      <c r="O7">
        <v>33</v>
      </c>
      <c r="P7">
        <v>0</v>
      </c>
      <c r="Q7">
        <v>0</v>
      </c>
      <c r="R7">
        <v>0</v>
      </c>
      <c r="S7">
        <v>10.7</v>
      </c>
      <c r="T7">
        <v>2.1881838074398201E-3</v>
      </c>
      <c r="U7">
        <v>4.5714285714285703</v>
      </c>
      <c r="V7">
        <v>33</v>
      </c>
      <c r="Y7">
        <v>10.199999999999999</v>
      </c>
    </row>
    <row r="8" spans="1:25" x14ac:dyDescent="0.2">
      <c r="A8" t="s">
        <v>371</v>
      </c>
      <c r="B8" t="s">
        <v>365</v>
      </c>
      <c r="C8" t="s">
        <v>32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201</v>
      </c>
      <c r="K8">
        <v>801</v>
      </c>
      <c r="L8">
        <v>5</v>
      </c>
      <c r="M8">
        <v>40</v>
      </c>
      <c r="N8">
        <v>34</v>
      </c>
      <c r="O8">
        <v>316</v>
      </c>
      <c r="P8">
        <v>1</v>
      </c>
      <c r="Q8">
        <v>1</v>
      </c>
      <c r="R8">
        <v>0</v>
      </c>
      <c r="S8">
        <v>177.7</v>
      </c>
      <c r="T8">
        <v>8.7527352297592995E-2</v>
      </c>
      <c r="U8">
        <v>3.98507462686567</v>
      </c>
      <c r="V8">
        <v>9.2941176470588207</v>
      </c>
      <c r="Y8">
        <v>162.69999999999999</v>
      </c>
    </row>
    <row r="9" spans="1:25" x14ac:dyDescent="0.2">
      <c r="A9" t="s">
        <v>372</v>
      </c>
      <c r="B9" t="s">
        <v>365</v>
      </c>
      <c r="C9" t="s">
        <v>32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129</v>
      </c>
      <c r="K9">
        <v>731</v>
      </c>
      <c r="L9">
        <v>4</v>
      </c>
      <c r="M9">
        <v>12</v>
      </c>
      <c r="N9">
        <v>9</v>
      </c>
      <c r="O9">
        <v>57</v>
      </c>
      <c r="P9">
        <v>1</v>
      </c>
      <c r="Q9">
        <v>0</v>
      </c>
      <c r="R9">
        <v>0</v>
      </c>
      <c r="S9">
        <v>117.8</v>
      </c>
      <c r="T9">
        <v>2.6258205689277898E-2</v>
      </c>
      <c r="U9">
        <v>5.6666666666666696</v>
      </c>
      <c r="V9">
        <v>6.3333333333333304</v>
      </c>
      <c r="Y9">
        <v>113.3</v>
      </c>
    </row>
    <row r="10" spans="1:25" x14ac:dyDescent="0.2">
      <c r="A10" t="s">
        <v>373</v>
      </c>
      <c r="B10" t="s">
        <v>365</v>
      </c>
      <c r="C10" t="s">
        <v>32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24</v>
      </c>
      <c r="K10">
        <v>54</v>
      </c>
      <c r="L10">
        <v>0</v>
      </c>
      <c r="M10">
        <v>7</v>
      </c>
      <c r="N10">
        <v>1</v>
      </c>
      <c r="O10">
        <v>6</v>
      </c>
      <c r="P10">
        <v>0</v>
      </c>
      <c r="Q10">
        <v>0</v>
      </c>
      <c r="R10">
        <v>0</v>
      </c>
      <c r="S10">
        <v>7</v>
      </c>
      <c r="T10">
        <v>1.53172866520788E-2</v>
      </c>
      <c r="U10">
        <v>2.25</v>
      </c>
      <c r="V10">
        <v>6</v>
      </c>
      <c r="Y10">
        <v>6.5</v>
      </c>
    </row>
    <row r="11" spans="1:25" x14ac:dyDescent="0.2">
      <c r="A11" t="s">
        <v>374</v>
      </c>
      <c r="B11" t="s">
        <v>365</v>
      </c>
      <c r="C11" t="s">
        <v>39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9</v>
      </c>
      <c r="L11">
        <v>0</v>
      </c>
      <c r="M11">
        <v>69</v>
      </c>
      <c r="N11">
        <v>50</v>
      </c>
      <c r="O11">
        <v>544</v>
      </c>
      <c r="P11">
        <v>7</v>
      </c>
      <c r="Q11">
        <v>0</v>
      </c>
      <c r="R11">
        <v>0</v>
      </c>
      <c r="S11">
        <v>147.30000000000001</v>
      </c>
      <c r="T11">
        <v>0.150984682713348</v>
      </c>
      <c r="U11">
        <v>4.5</v>
      </c>
      <c r="V11">
        <v>10.88</v>
      </c>
      <c r="Y11">
        <v>122.3</v>
      </c>
    </row>
    <row r="12" spans="1:25" x14ac:dyDescent="0.2">
      <c r="A12" t="s">
        <v>375</v>
      </c>
      <c r="B12" t="s">
        <v>365</v>
      </c>
      <c r="C12" t="s">
        <v>39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2.1881838074398201E-3</v>
      </c>
      <c r="Y12">
        <v>0</v>
      </c>
    </row>
    <row r="13" spans="1:25" x14ac:dyDescent="0.2">
      <c r="A13" t="s">
        <v>376</v>
      </c>
      <c r="B13" t="s">
        <v>365</v>
      </c>
      <c r="C13" t="s">
        <v>39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26</v>
      </c>
      <c r="P13">
        <v>0</v>
      </c>
      <c r="Q13">
        <v>0</v>
      </c>
      <c r="R13">
        <v>0</v>
      </c>
      <c r="S13">
        <v>6.6</v>
      </c>
      <c r="T13">
        <v>1.7505470459518599E-2</v>
      </c>
      <c r="V13">
        <v>6.5</v>
      </c>
      <c r="Y13">
        <v>4.5999999999999996</v>
      </c>
    </row>
    <row r="14" spans="1:25" x14ac:dyDescent="0.2">
      <c r="A14" t="s">
        <v>377</v>
      </c>
      <c r="B14" t="s">
        <v>365</v>
      </c>
      <c r="C14" t="s">
        <v>39</v>
      </c>
      <c r="D14">
        <v>4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</v>
      </c>
      <c r="N14">
        <v>2</v>
      </c>
      <c r="O14">
        <v>26</v>
      </c>
      <c r="P14">
        <v>0</v>
      </c>
      <c r="Q14">
        <v>0</v>
      </c>
      <c r="R14">
        <v>0</v>
      </c>
      <c r="S14">
        <v>6.6</v>
      </c>
      <c r="T14">
        <v>8.7527352297592995E-3</v>
      </c>
      <c r="V14">
        <v>13</v>
      </c>
      <c r="Y14">
        <v>3.6</v>
      </c>
    </row>
    <row r="15" spans="1:25" x14ac:dyDescent="0.2">
      <c r="A15" t="s">
        <v>378</v>
      </c>
      <c r="B15" t="s">
        <v>365</v>
      </c>
      <c r="C15" t="s">
        <v>44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16</v>
      </c>
      <c r="N15">
        <v>10</v>
      </c>
      <c r="O15">
        <v>135</v>
      </c>
      <c r="P15">
        <v>2</v>
      </c>
      <c r="Q15">
        <v>0</v>
      </c>
      <c r="R15">
        <v>0</v>
      </c>
      <c r="S15">
        <v>35.5</v>
      </c>
      <c r="T15">
        <v>3.5010940919037198E-2</v>
      </c>
      <c r="V15">
        <v>13.5</v>
      </c>
      <c r="Y15">
        <v>30.5</v>
      </c>
    </row>
    <row r="16" spans="1:25" x14ac:dyDescent="0.2">
      <c r="A16" t="s">
        <v>379</v>
      </c>
      <c r="B16" t="s">
        <v>365</v>
      </c>
      <c r="C16" t="s">
        <v>44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</v>
      </c>
      <c r="L16">
        <v>0</v>
      </c>
      <c r="M16">
        <v>29</v>
      </c>
      <c r="N16">
        <v>14</v>
      </c>
      <c r="O16">
        <v>140</v>
      </c>
      <c r="P16">
        <v>0</v>
      </c>
      <c r="Q16">
        <v>0</v>
      </c>
      <c r="R16">
        <v>0</v>
      </c>
      <c r="S16">
        <v>26.4</v>
      </c>
      <c r="T16">
        <v>6.3457330415754895E-2</v>
      </c>
      <c r="U16">
        <v>4</v>
      </c>
      <c r="V16">
        <v>10</v>
      </c>
      <c r="Y16">
        <v>21.4</v>
      </c>
    </row>
    <row r="17" spans="1:25" x14ac:dyDescent="0.2">
      <c r="A17" t="s">
        <v>380</v>
      </c>
      <c r="B17" t="s">
        <v>365</v>
      </c>
      <c r="C17" t="s">
        <v>44</v>
      </c>
      <c r="D17">
        <v>11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61</v>
      </c>
      <c r="N17">
        <v>40</v>
      </c>
      <c r="O17">
        <v>493</v>
      </c>
      <c r="P17">
        <v>2</v>
      </c>
      <c r="Q17">
        <v>0</v>
      </c>
      <c r="R17">
        <v>0</v>
      </c>
      <c r="S17">
        <v>101.5</v>
      </c>
      <c r="T17">
        <v>0.133479212253829</v>
      </c>
      <c r="U17">
        <v>2</v>
      </c>
      <c r="V17">
        <v>12.324999999999999</v>
      </c>
      <c r="Y17">
        <v>81.5</v>
      </c>
    </row>
    <row r="18" spans="1:25" x14ac:dyDescent="0.2">
      <c r="A18" t="s">
        <v>381</v>
      </c>
      <c r="B18" t="s">
        <v>365</v>
      </c>
      <c r="C18" t="s">
        <v>44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37</v>
      </c>
      <c r="L18">
        <v>0</v>
      </c>
      <c r="M18">
        <v>41</v>
      </c>
      <c r="N18">
        <v>19</v>
      </c>
      <c r="O18">
        <v>245</v>
      </c>
      <c r="P18">
        <v>3</v>
      </c>
      <c r="Q18">
        <v>0</v>
      </c>
      <c r="R18">
        <v>0</v>
      </c>
      <c r="S18">
        <v>65.2</v>
      </c>
      <c r="T18">
        <v>8.97155361050328E-2</v>
      </c>
      <c r="U18">
        <v>18.5</v>
      </c>
      <c r="V18">
        <v>12.894736842105299</v>
      </c>
      <c r="Y18">
        <v>55.7</v>
      </c>
    </row>
    <row r="19" spans="1:25" x14ac:dyDescent="0.2">
      <c r="A19" t="s">
        <v>382</v>
      </c>
      <c r="B19" t="s">
        <v>365</v>
      </c>
      <c r="C19" t="s">
        <v>44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6</v>
      </c>
      <c r="K19">
        <v>54</v>
      </c>
      <c r="L19">
        <v>0</v>
      </c>
      <c r="M19">
        <v>39</v>
      </c>
      <c r="N19">
        <v>22</v>
      </c>
      <c r="O19">
        <v>325</v>
      </c>
      <c r="P19">
        <v>1</v>
      </c>
      <c r="Q19">
        <v>0</v>
      </c>
      <c r="R19">
        <v>0</v>
      </c>
      <c r="S19">
        <v>63.9</v>
      </c>
      <c r="T19">
        <v>8.5339168490153203E-2</v>
      </c>
      <c r="U19">
        <v>9</v>
      </c>
      <c r="V19">
        <v>14.7727272727273</v>
      </c>
      <c r="Y19">
        <v>54.9</v>
      </c>
    </row>
    <row r="20" spans="1:25" x14ac:dyDescent="0.2">
      <c r="A20" t="s">
        <v>383</v>
      </c>
      <c r="B20" t="s">
        <v>365</v>
      </c>
      <c r="C20" t="s">
        <v>44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-1</v>
      </c>
      <c r="L20">
        <v>0</v>
      </c>
      <c r="M20">
        <v>4</v>
      </c>
      <c r="N20">
        <v>1</v>
      </c>
      <c r="O20">
        <v>15</v>
      </c>
      <c r="P20">
        <v>0</v>
      </c>
      <c r="Q20">
        <v>0</v>
      </c>
      <c r="R20">
        <v>0</v>
      </c>
      <c r="S20">
        <v>0.4</v>
      </c>
      <c r="T20">
        <v>8.7527352297592995E-3</v>
      </c>
      <c r="U20">
        <v>-1</v>
      </c>
      <c r="V20">
        <v>15</v>
      </c>
      <c r="Y20">
        <v>1.9</v>
      </c>
    </row>
    <row r="21" spans="1:25" x14ac:dyDescent="0.2">
      <c r="A21" t="s">
        <v>384</v>
      </c>
      <c r="B21" t="s">
        <v>365</v>
      </c>
      <c r="C21" t="s">
        <v>44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</v>
      </c>
      <c r="N21">
        <v>7</v>
      </c>
      <c r="O21">
        <v>116</v>
      </c>
      <c r="P21">
        <v>1</v>
      </c>
      <c r="Q21">
        <v>0</v>
      </c>
      <c r="R21">
        <v>0</v>
      </c>
      <c r="S21">
        <v>24.6</v>
      </c>
      <c r="T21">
        <v>1.9693654266958401E-2</v>
      </c>
      <c r="V21">
        <v>16.571428571428601</v>
      </c>
      <c r="Y21">
        <v>21.1</v>
      </c>
    </row>
    <row r="22" spans="1:25" x14ac:dyDescent="0.2">
      <c r="A22" t="s">
        <v>385</v>
      </c>
      <c r="B22" t="s">
        <v>365</v>
      </c>
      <c r="C22" t="s">
        <v>44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</v>
      </c>
      <c r="N22">
        <v>2</v>
      </c>
      <c r="O22">
        <v>14</v>
      </c>
      <c r="P22">
        <v>0</v>
      </c>
      <c r="Q22">
        <v>0</v>
      </c>
      <c r="R22">
        <v>0</v>
      </c>
      <c r="S22">
        <v>3.4</v>
      </c>
      <c r="T22">
        <v>6.5645514223194703E-3</v>
      </c>
      <c r="V22">
        <v>7</v>
      </c>
      <c r="Y22">
        <v>2.4</v>
      </c>
    </row>
    <row r="23" spans="1:25" x14ac:dyDescent="0.2">
      <c r="A23" t="s">
        <v>386</v>
      </c>
      <c r="B23" t="s">
        <v>365</v>
      </c>
      <c r="C23" t="s">
        <v>44</v>
      </c>
      <c r="D23">
        <v>9</v>
      </c>
      <c r="E23">
        <v>0</v>
      </c>
      <c r="F23">
        <v>0</v>
      </c>
      <c r="G23">
        <v>0</v>
      </c>
      <c r="H23">
        <v>0</v>
      </c>
      <c r="I23">
        <v>0</v>
      </c>
      <c r="J23">
        <v>9</v>
      </c>
      <c r="K23">
        <v>103</v>
      </c>
      <c r="L23">
        <v>1</v>
      </c>
      <c r="M23">
        <v>14</v>
      </c>
      <c r="N23">
        <v>7</v>
      </c>
      <c r="O23">
        <v>107</v>
      </c>
      <c r="P23">
        <v>1</v>
      </c>
      <c r="Q23">
        <v>1</v>
      </c>
      <c r="R23">
        <v>0</v>
      </c>
      <c r="S23">
        <v>38</v>
      </c>
      <c r="T23">
        <v>3.06345733041575E-2</v>
      </c>
      <c r="U23">
        <v>11.4444444444444</v>
      </c>
      <c r="V23">
        <v>15.285714285714301</v>
      </c>
      <c r="Y23">
        <v>34.5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365</v>
      </c>
      <c r="B31">
        <v>5612</v>
      </c>
      <c r="C31">
        <v>2598</v>
      </c>
      <c r="D31">
        <v>558</v>
      </c>
      <c r="E31">
        <v>3014</v>
      </c>
      <c r="F31">
        <v>18</v>
      </c>
      <c r="G31">
        <v>1144.1199999999999</v>
      </c>
      <c r="H31">
        <v>377</v>
      </c>
      <c r="I31">
        <v>0.59151193633952304</v>
      </c>
      <c r="J31">
        <v>19</v>
      </c>
      <c r="K31">
        <v>15</v>
      </c>
      <c r="L31">
        <v>4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387</v>
      </c>
      <c r="B36" t="s">
        <v>27</v>
      </c>
      <c r="C36">
        <v>23</v>
      </c>
      <c r="D36">
        <v>0</v>
      </c>
      <c r="E36" t="s">
        <v>388</v>
      </c>
      <c r="F36" t="s">
        <v>365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389</v>
      </c>
      <c r="B37" t="s">
        <v>27</v>
      </c>
      <c r="C37">
        <v>24</v>
      </c>
      <c r="D37">
        <v>3</v>
      </c>
      <c r="E37" t="s">
        <v>209</v>
      </c>
      <c r="F37" t="s">
        <v>365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390</v>
      </c>
      <c r="B38" t="s">
        <v>27</v>
      </c>
      <c r="C38">
        <v>29</v>
      </c>
      <c r="D38">
        <v>7</v>
      </c>
      <c r="E38" t="s">
        <v>75</v>
      </c>
      <c r="F38" t="s">
        <v>365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391</v>
      </c>
      <c r="B39" t="s">
        <v>27</v>
      </c>
      <c r="C39">
        <v>28</v>
      </c>
      <c r="D39">
        <v>4</v>
      </c>
      <c r="E39" t="s">
        <v>392</v>
      </c>
      <c r="F39" t="s">
        <v>365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393</v>
      </c>
      <c r="B40" t="s">
        <v>32</v>
      </c>
      <c r="C40">
        <v>24</v>
      </c>
      <c r="D40">
        <v>2</v>
      </c>
      <c r="E40" t="s">
        <v>394</v>
      </c>
      <c r="F40" t="s">
        <v>365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395</v>
      </c>
      <c r="B41" t="s">
        <v>32</v>
      </c>
      <c r="C41">
        <v>27</v>
      </c>
      <c r="D41">
        <v>6</v>
      </c>
      <c r="E41" t="s">
        <v>67</v>
      </c>
      <c r="F41" t="s">
        <v>365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396</v>
      </c>
      <c r="B42" t="s">
        <v>32</v>
      </c>
      <c r="C42">
        <v>25</v>
      </c>
      <c r="D42">
        <v>3</v>
      </c>
      <c r="E42" t="s">
        <v>332</v>
      </c>
      <c r="F42" t="s">
        <v>365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397</v>
      </c>
      <c r="B43" t="s">
        <v>32</v>
      </c>
      <c r="C43">
        <v>24</v>
      </c>
      <c r="D43">
        <v>5</v>
      </c>
      <c r="E43" t="s">
        <v>398</v>
      </c>
      <c r="F43" t="s">
        <v>365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399</v>
      </c>
      <c r="B44" t="s">
        <v>32</v>
      </c>
      <c r="C44">
        <v>22</v>
      </c>
      <c r="D44">
        <v>0</v>
      </c>
      <c r="E44" t="s">
        <v>67</v>
      </c>
      <c r="F44" t="s">
        <v>365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400</v>
      </c>
      <c r="B45" t="s">
        <v>44</v>
      </c>
      <c r="C45">
        <v>25</v>
      </c>
      <c r="D45">
        <v>4</v>
      </c>
      <c r="E45" t="s">
        <v>363</v>
      </c>
      <c r="F45" t="s">
        <v>365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401</v>
      </c>
      <c r="B46" t="s">
        <v>44</v>
      </c>
      <c r="C46">
        <v>22</v>
      </c>
      <c r="D46">
        <v>0</v>
      </c>
      <c r="E46" t="s">
        <v>211</v>
      </c>
      <c r="F46" t="s">
        <v>365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402</v>
      </c>
      <c r="B47" t="s">
        <v>44</v>
      </c>
      <c r="C47">
        <v>27</v>
      </c>
      <c r="D47">
        <v>4</v>
      </c>
      <c r="E47" t="s">
        <v>403</v>
      </c>
      <c r="F47" t="s">
        <v>365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404</v>
      </c>
      <c r="B48" t="s">
        <v>44</v>
      </c>
      <c r="C48">
        <v>26</v>
      </c>
      <c r="D48">
        <v>2</v>
      </c>
      <c r="E48" t="s">
        <v>141</v>
      </c>
      <c r="F48" t="s">
        <v>365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405</v>
      </c>
      <c r="B49" t="s">
        <v>44</v>
      </c>
      <c r="C49">
        <v>25</v>
      </c>
      <c r="D49">
        <v>4</v>
      </c>
      <c r="E49" t="s">
        <v>406</v>
      </c>
      <c r="F49" t="s">
        <v>365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407</v>
      </c>
      <c r="B50" t="s">
        <v>44</v>
      </c>
      <c r="C50">
        <v>26</v>
      </c>
      <c r="D50">
        <v>6</v>
      </c>
      <c r="E50" t="s">
        <v>227</v>
      </c>
      <c r="F50" t="s">
        <v>365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408</v>
      </c>
      <c r="B51" t="s">
        <v>44</v>
      </c>
      <c r="C51">
        <v>27</v>
      </c>
      <c r="D51">
        <v>6</v>
      </c>
      <c r="E51" t="s">
        <v>85</v>
      </c>
      <c r="F51" t="s">
        <v>365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409</v>
      </c>
      <c r="B52" t="s">
        <v>44</v>
      </c>
      <c r="C52">
        <v>22</v>
      </c>
      <c r="D52">
        <v>0</v>
      </c>
      <c r="E52" t="s">
        <v>410</v>
      </c>
      <c r="F52" t="s">
        <v>365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411</v>
      </c>
      <c r="B53" t="s">
        <v>44</v>
      </c>
      <c r="C53">
        <v>25</v>
      </c>
      <c r="D53">
        <v>2</v>
      </c>
      <c r="E53" t="s">
        <v>412</v>
      </c>
      <c r="F53" t="s">
        <v>365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413</v>
      </c>
      <c r="B54" t="s">
        <v>44</v>
      </c>
      <c r="C54">
        <v>21</v>
      </c>
      <c r="D54">
        <v>0</v>
      </c>
      <c r="E54" t="s">
        <v>133</v>
      </c>
      <c r="F54" t="s">
        <v>365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414</v>
      </c>
      <c r="B55" t="s">
        <v>44</v>
      </c>
      <c r="C55">
        <v>26</v>
      </c>
      <c r="D55">
        <v>6</v>
      </c>
      <c r="E55" t="s">
        <v>363</v>
      </c>
      <c r="F55" t="s">
        <v>365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415</v>
      </c>
      <c r="B56" t="s">
        <v>44</v>
      </c>
      <c r="C56">
        <v>27</v>
      </c>
      <c r="D56">
        <v>4</v>
      </c>
      <c r="E56" t="s">
        <v>416</v>
      </c>
      <c r="F56" t="s">
        <v>365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417</v>
      </c>
      <c r="B57" t="s">
        <v>39</v>
      </c>
      <c r="C57">
        <v>26</v>
      </c>
      <c r="D57">
        <v>1</v>
      </c>
      <c r="E57" t="s">
        <v>243</v>
      </c>
      <c r="F57" t="s">
        <v>365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418</v>
      </c>
      <c r="B58" t="s">
        <v>39</v>
      </c>
      <c r="C58">
        <v>26</v>
      </c>
      <c r="D58">
        <v>4</v>
      </c>
      <c r="E58" t="s">
        <v>419</v>
      </c>
      <c r="F58" t="s">
        <v>365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420</v>
      </c>
      <c r="B59" t="s">
        <v>39</v>
      </c>
      <c r="C59">
        <v>24</v>
      </c>
      <c r="D59">
        <v>4</v>
      </c>
      <c r="E59" t="s">
        <v>363</v>
      </c>
      <c r="F59" t="s">
        <v>365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421</v>
      </c>
      <c r="B60" t="s">
        <v>39</v>
      </c>
      <c r="C60">
        <v>24</v>
      </c>
      <c r="D60">
        <v>2</v>
      </c>
      <c r="E60" t="s">
        <v>422</v>
      </c>
      <c r="F60" t="s">
        <v>365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423</v>
      </c>
      <c r="B61" t="s">
        <v>39</v>
      </c>
      <c r="C61">
        <v>29</v>
      </c>
      <c r="D61">
        <v>6</v>
      </c>
      <c r="E61" t="s">
        <v>424</v>
      </c>
      <c r="F61" t="s">
        <v>365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425</v>
      </c>
      <c r="B2" t="s">
        <v>426</v>
      </c>
      <c r="C2" t="s">
        <v>27</v>
      </c>
      <c r="D2">
        <v>1</v>
      </c>
      <c r="E2">
        <v>3</v>
      </c>
      <c r="F2">
        <v>3</v>
      </c>
      <c r="G2">
        <v>22</v>
      </c>
      <c r="H2">
        <v>0</v>
      </c>
      <c r="I2">
        <v>0</v>
      </c>
      <c r="J2">
        <v>3</v>
      </c>
      <c r="K2">
        <v>-1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0.78</v>
      </c>
      <c r="T2">
        <v>0</v>
      </c>
      <c r="U2">
        <v>-0.33333333333333298</v>
      </c>
      <c r="W2">
        <v>1</v>
      </c>
      <c r="X2">
        <v>0</v>
      </c>
      <c r="Y2">
        <v>0.78</v>
      </c>
    </row>
    <row r="3" spans="1:25" x14ac:dyDescent="0.2">
      <c r="A3" t="s">
        <v>427</v>
      </c>
      <c r="B3" t="s">
        <v>426</v>
      </c>
      <c r="C3" t="s">
        <v>27</v>
      </c>
      <c r="D3">
        <v>16</v>
      </c>
      <c r="E3">
        <v>606</v>
      </c>
      <c r="F3">
        <v>414</v>
      </c>
      <c r="G3">
        <v>4475</v>
      </c>
      <c r="H3">
        <v>35</v>
      </c>
      <c r="I3">
        <v>12</v>
      </c>
      <c r="J3">
        <v>75</v>
      </c>
      <c r="K3">
        <v>257</v>
      </c>
      <c r="L3">
        <v>5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350.7</v>
      </c>
      <c r="T3">
        <v>0</v>
      </c>
      <c r="U3">
        <v>3.4266666666666699</v>
      </c>
      <c r="W3">
        <v>0.683168316831683</v>
      </c>
      <c r="X3">
        <v>5.7755775577557802E-2</v>
      </c>
      <c r="Y3">
        <v>362.7</v>
      </c>
    </row>
    <row r="4" spans="1:25" x14ac:dyDescent="0.2">
      <c r="A4" t="s">
        <v>428</v>
      </c>
      <c r="B4" t="s">
        <v>426</v>
      </c>
      <c r="C4" t="s">
        <v>32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4</v>
      </c>
      <c r="N4">
        <v>3</v>
      </c>
      <c r="O4">
        <v>38</v>
      </c>
      <c r="P4">
        <v>1</v>
      </c>
      <c r="Q4">
        <v>0</v>
      </c>
      <c r="R4">
        <v>0</v>
      </c>
      <c r="S4">
        <v>12.8</v>
      </c>
      <c r="T4">
        <v>1.0610079575596801E-2</v>
      </c>
      <c r="V4">
        <v>12.6666666666667</v>
      </c>
      <c r="Y4">
        <v>11.3</v>
      </c>
    </row>
    <row r="5" spans="1:25" x14ac:dyDescent="0.2">
      <c r="A5" t="s">
        <v>429</v>
      </c>
      <c r="B5" t="s">
        <v>426</v>
      </c>
      <c r="C5" t="s">
        <v>32</v>
      </c>
      <c r="D5">
        <v>14</v>
      </c>
      <c r="E5">
        <v>0</v>
      </c>
      <c r="F5">
        <v>0</v>
      </c>
      <c r="G5">
        <v>0</v>
      </c>
      <c r="H5">
        <v>0</v>
      </c>
      <c r="I5">
        <v>0</v>
      </c>
      <c r="J5">
        <v>210</v>
      </c>
      <c r="K5">
        <v>814</v>
      </c>
      <c r="L5">
        <v>7</v>
      </c>
      <c r="M5">
        <v>75</v>
      </c>
      <c r="N5">
        <v>60</v>
      </c>
      <c r="O5">
        <v>441</v>
      </c>
      <c r="P5">
        <v>2</v>
      </c>
      <c r="Q5">
        <v>0</v>
      </c>
      <c r="R5">
        <v>0</v>
      </c>
      <c r="S5">
        <v>239.5</v>
      </c>
      <c r="T5">
        <v>0.19893899204244</v>
      </c>
      <c r="U5">
        <v>3.8761904761904802</v>
      </c>
      <c r="V5">
        <v>7.35</v>
      </c>
      <c r="Y5">
        <v>209.5</v>
      </c>
    </row>
    <row r="6" spans="1:25" x14ac:dyDescent="0.2">
      <c r="A6" t="s">
        <v>430</v>
      </c>
      <c r="B6" t="s">
        <v>426</v>
      </c>
      <c r="C6" t="s">
        <v>32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95</v>
      </c>
      <c r="K6">
        <v>394</v>
      </c>
      <c r="L6">
        <v>2</v>
      </c>
      <c r="M6">
        <v>51</v>
      </c>
      <c r="N6">
        <v>38</v>
      </c>
      <c r="O6">
        <v>287</v>
      </c>
      <c r="P6">
        <v>4</v>
      </c>
      <c r="Q6">
        <v>0</v>
      </c>
      <c r="R6">
        <v>0</v>
      </c>
      <c r="S6">
        <v>142.1</v>
      </c>
      <c r="T6">
        <v>0.13527851458885901</v>
      </c>
      <c r="U6">
        <v>4.1473684210526303</v>
      </c>
      <c r="V6">
        <v>7.5526315789473699</v>
      </c>
      <c r="Y6">
        <v>123.1</v>
      </c>
    </row>
    <row r="7" spans="1:25" x14ac:dyDescent="0.2">
      <c r="A7" t="s">
        <v>37</v>
      </c>
      <c r="B7" t="s">
        <v>426</v>
      </c>
      <c r="C7" t="s">
        <v>32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6</v>
      </c>
      <c r="K7">
        <v>30</v>
      </c>
      <c r="L7">
        <v>0</v>
      </c>
      <c r="M7">
        <v>3</v>
      </c>
      <c r="N7">
        <v>2</v>
      </c>
      <c r="O7">
        <v>30</v>
      </c>
      <c r="P7">
        <v>0</v>
      </c>
      <c r="Q7">
        <v>0</v>
      </c>
      <c r="R7">
        <v>0</v>
      </c>
      <c r="S7">
        <v>8</v>
      </c>
      <c r="T7">
        <v>7.9575596816976093E-3</v>
      </c>
      <c r="U7">
        <v>5</v>
      </c>
      <c r="V7">
        <v>15</v>
      </c>
      <c r="Y7">
        <v>7</v>
      </c>
    </row>
    <row r="8" spans="1:25" x14ac:dyDescent="0.2">
      <c r="A8" t="s">
        <v>431</v>
      </c>
      <c r="B8" t="s">
        <v>426</v>
      </c>
      <c r="C8" t="s">
        <v>39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2</v>
      </c>
      <c r="O8">
        <v>5</v>
      </c>
      <c r="P8">
        <v>0</v>
      </c>
      <c r="Q8">
        <v>0</v>
      </c>
      <c r="R8">
        <v>0</v>
      </c>
      <c r="S8">
        <v>2.5</v>
      </c>
      <c r="T8">
        <v>1.0610079575596801E-2</v>
      </c>
      <c r="V8">
        <v>2.5</v>
      </c>
      <c r="Y8">
        <v>1.5</v>
      </c>
    </row>
    <row r="9" spans="1:25" x14ac:dyDescent="0.2">
      <c r="A9" t="s">
        <v>432</v>
      </c>
      <c r="B9" t="s">
        <v>426</v>
      </c>
      <c r="C9" t="s">
        <v>39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-2</v>
      </c>
      <c r="P9">
        <v>0</v>
      </c>
      <c r="Q9">
        <v>0</v>
      </c>
      <c r="R9">
        <v>0</v>
      </c>
      <c r="S9">
        <v>1.8</v>
      </c>
      <c r="T9">
        <v>5.3050397877984099E-3</v>
      </c>
      <c r="V9">
        <v>-1</v>
      </c>
      <c r="Y9">
        <v>0.8</v>
      </c>
    </row>
    <row r="10" spans="1:25" x14ac:dyDescent="0.2">
      <c r="A10" t="s">
        <v>433</v>
      </c>
      <c r="B10" t="s">
        <v>426</v>
      </c>
      <c r="C10" t="s">
        <v>39</v>
      </c>
      <c r="D10">
        <v>13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68</v>
      </c>
      <c r="N10">
        <v>52</v>
      </c>
      <c r="O10">
        <v>414</v>
      </c>
      <c r="P10">
        <v>2</v>
      </c>
      <c r="Q10">
        <v>0</v>
      </c>
      <c r="R10">
        <v>0</v>
      </c>
      <c r="S10">
        <v>105.4</v>
      </c>
      <c r="T10">
        <v>0.18037135278514599</v>
      </c>
      <c r="V10">
        <v>7.9615384615384599</v>
      </c>
      <c r="Y10">
        <v>79.400000000000006</v>
      </c>
    </row>
    <row r="11" spans="1:25" x14ac:dyDescent="0.2">
      <c r="A11" t="s">
        <v>434</v>
      </c>
      <c r="B11" t="s">
        <v>426</v>
      </c>
      <c r="C11" t="s">
        <v>39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18</v>
      </c>
      <c r="N11">
        <v>17</v>
      </c>
      <c r="O11">
        <v>139</v>
      </c>
      <c r="P11">
        <v>1</v>
      </c>
      <c r="Q11">
        <v>0</v>
      </c>
      <c r="R11">
        <v>0</v>
      </c>
      <c r="S11">
        <v>36.9</v>
      </c>
      <c r="T11">
        <v>4.7745358090185701E-2</v>
      </c>
      <c r="V11">
        <v>8.1764705882352899</v>
      </c>
      <c r="Y11">
        <v>28.4</v>
      </c>
    </row>
    <row r="12" spans="1:25" x14ac:dyDescent="0.2">
      <c r="A12" t="s">
        <v>435</v>
      </c>
      <c r="B12" t="s">
        <v>426</v>
      </c>
      <c r="C12" t="s">
        <v>44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5</v>
      </c>
      <c r="K12">
        <v>8</v>
      </c>
      <c r="L12">
        <v>0</v>
      </c>
      <c r="M12">
        <v>134</v>
      </c>
      <c r="N12">
        <v>87</v>
      </c>
      <c r="O12">
        <v>1046</v>
      </c>
      <c r="P12">
        <v>9</v>
      </c>
      <c r="Q12">
        <v>0</v>
      </c>
      <c r="R12">
        <v>0</v>
      </c>
      <c r="S12">
        <v>242.4</v>
      </c>
      <c r="T12">
        <v>0.35543766578249297</v>
      </c>
      <c r="U12">
        <v>1.6</v>
      </c>
      <c r="V12">
        <v>12.022988505747101</v>
      </c>
      <c r="Y12">
        <v>202.9</v>
      </c>
    </row>
    <row r="13" spans="1:25" x14ac:dyDescent="0.2">
      <c r="A13" t="s">
        <v>436</v>
      </c>
      <c r="B13" t="s">
        <v>426</v>
      </c>
      <c r="C13" t="s">
        <v>44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</v>
      </c>
      <c r="N13">
        <v>2</v>
      </c>
      <c r="O13">
        <v>38</v>
      </c>
      <c r="P13">
        <v>0</v>
      </c>
      <c r="Q13">
        <v>0</v>
      </c>
      <c r="R13">
        <v>0</v>
      </c>
      <c r="S13">
        <v>7.8</v>
      </c>
      <c r="T13">
        <v>2.6525198938991999E-2</v>
      </c>
      <c r="V13">
        <v>19</v>
      </c>
      <c r="Y13">
        <v>4.8</v>
      </c>
    </row>
    <row r="14" spans="1:25" x14ac:dyDescent="0.2">
      <c r="A14" t="s">
        <v>437</v>
      </c>
      <c r="B14" t="s">
        <v>426</v>
      </c>
      <c r="C14" t="s">
        <v>44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2.6525198938992002E-3</v>
      </c>
      <c r="Y14">
        <v>0</v>
      </c>
    </row>
    <row r="15" spans="1:25" x14ac:dyDescent="0.2">
      <c r="A15" t="s">
        <v>438</v>
      </c>
      <c r="B15" t="s">
        <v>426</v>
      </c>
      <c r="C15" t="s">
        <v>44</v>
      </c>
      <c r="D15">
        <v>16</v>
      </c>
      <c r="E15">
        <v>1</v>
      </c>
      <c r="F15">
        <v>1</v>
      </c>
      <c r="G15">
        <v>23</v>
      </c>
      <c r="H15">
        <v>0</v>
      </c>
      <c r="I15">
        <v>0</v>
      </c>
      <c r="J15">
        <v>0</v>
      </c>
      <c r="K15">
        <v>0</v>
      </c>
      <c r="L15">
        <v>0</v>
      </c>
      <c r="M15">
        <v>82</v>
      </c>
      <c r="N15">
        <v>58</v>
      </c>
      <c r="O15">
        <v>762</v>
      </c>
      <c r="P15">
        <v>5</v>
      </c>
      <c r="Q15">
        <v>0</v>
      </c>
      <c r="R15">
        <v>0</v>
      </c>
      <c r="S15">
        <v>167.12</v>
      </c>
      <c r="T15">
        <v>0.21750663129973499</v>
      </c>
      <c r="V15">
        <v>13.137931034482801</v>
      </c>
      <c r="W15">
        <v>1</v>
      </c>
      <c r="X15">
        <v>0</v>
      </c>
      <c r="Y15">
        <v>135.19999999999999</v>
      </c>
    </row>
    <row r="16" spans="1:25" x14ac:dyDescent="0.2">
      <c r="A16" t="s">
        <v>439</v>
      </c>
      <c r="B16" t="s">
        <v>426</v>
      </c>
      <c r="C16" t="s">
        <v>44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109</v>
      </c>
      <c r="N16">
        <v>74</v>
      </c>
      <c r="O16">
        <v>1029</v>
      </c>
      <c r="P16">
        <v>7</v>
      </c>
      <c r="Q16">
        <v>0</v>
      </c>
      <c r="R16">
        <v>0</v>
      </c>
      <c r="S16">
        <v>220.9</v>
      </c>
      <c r="T16">
        <v>0.289124668435013</v>
      </c>
      <c r="V16">
        <v>13.9054054054054</v>
      </c>
      <c r="Y16">
        <v>181.9</v>
      </c>
    </row>
    <row r="17" spans="1:25" x14ac:dyDescent="0.2">
      <c r="A17" t="s">
        <v>440</v>
      </c>
      <c r="B17" t="s">
        <v>426</v>
      </c>
      <c r="C17" t="s">
        <v>44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23</v>
      </c>
      <c r="N17">
        <v>15</v>
      </c>
      <c r="O17">
        <v>231</v>
      </c>
      <c r="P17">
        <v>4</v>
      </c>
      <c r="Q17">
        <v>0</v>
      </c>
      <c r="R17">
        <v>0</v>
      </c>
      <c r="S17">
        <v>63.2</v>
      </c>
      <c r="T17">
        <v>6.1007957559681698E-2</v>
      </c>
      <c r="U17">
        <v>11</v>
      </c>
      <c r="V17">
        <v>15.4</v>
      </c>
      <c r="Y17">
        <v>55.7</v>
      </c>
    </row>
    <row r="18" spans="1:25" x14ac:dyDescent="0.2">
      <c r="A18" t="s">
        <v>441</v>
      </c>
      <c r="B18" t="s">
        <v>426</v>
      </c>
      <c r="C18" t="s">
        <v>44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4</v>
      </c>
      <c r="K18">
        <v>15</v>
      </c>
      <c r="L18">
        <v>0</v>
      </c>
      <c r="M18">
        <v>10</v>
      </c>
      <c r="N18">
        <v>6</v>
      </c>
      <c r="O18">
        <v>62</v>
      </c>
      <c r="P18">
        <v>0</v>
      </c>
      <c r="Q18">
        <v>0</v>
      </c>
      <c r="R18">
        <v>0</v>
      </c>
      <c r="S18">
        <v>13.7</v>
      </c>
      <c r="T18">
        <v>2.6525198938991999E-2</v>
      </c>
      <c r="U18">
        <v>3.75</v>
      </c>
      <c r="V18">
        <v>10.3333333333333</v>
      </c>
      <c r="Y18">
        <v>10.7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426</v>
      </c>
      <c r="B31">
        <v>6048</v>
      </c>
      <c r="C31">
        <v>4520</v>
      </c>
      <c r="D31">
        <v>399</v>
      </c>
      <c r="E31">
        <v>1528</v>
      </c>
      <c r="F31">
        <v>14</v>
      </c>
      <c r="G31">
        <v>1615.6</v>
      </c>
      <c r="H31">
        <v>610</v>
      </c>
      <c r="I31">
        <v>0.68524590163934396</v>
      </c>
      <c r="J31">
        <v>35</v>
      </c>
      <c r="K31">
        <v>12</v>
      </c>
      <c r="L31">
        <v>3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442</v>
      </c>
      <c r="B36" t="s">
        <v>27</v>
      </c>
      <c r="C36">
        <v>27</v>
      </c>
      <c r="D36">
        <v>1</v>
      </c>
      <c r="E36" t="s">
        <v>85</v>
      </c>
      <c r="F36" t="s">
        <v>426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443</v>
      </c>
      <c r="B37" t="s">
        <v>27</v>
      </c>
      <c r="C37">
        <v>26</v>
      </c>
      <c r="D37">
        <v>4</v>
      </c>
      <c r="E37" t="s">
        <v>222</v>
      </c>
      <c r="F37" t="s">
        <v>426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444</v>
      </c>
      <c r="B38" t="s">
        <v>27</v>
      </c>
      <c r="C38">
        <v>31</v>
      </c>
      <c r="D38">
        <v>8</v>
      </c>
      <c r="E38" t="s">
        <v>445</v>
      </c>
      <c r="F38" t="s">
        <v>426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446</v>
      </c>
      <c r="B39" t="s">
        <v>32</v>
      </c>
      <c r="C39">
        <v>23</v>
      </c>
      <c r="D39">
        <v>0</v>
      </c>
      <c r="E39" t="s">
        <v>447</v>
      </c>
      <c r="F39" t="s">
        <v>426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448</v>
      </c>
      <c r="B40" t="s">
        <v>32</v>
      </c>
      <c r="C40">
        <v>25</v>
      </c>
      <c r="D40">
        <v>3</v>
      </c>
      <c r="E40" t="s">
        <v>100</v>
      </c>
      <c r="F40" t="s">
        <v>426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449</v>
      </c>
      <c r="B41" t="s">
        <v>32</v>
      </c>
      <c r="C41">
        <v>26</v>
      </c>
      <c r="D41">
        <v>7</v>
      </c>
      <c r="E41" t="s">
        <v>69</v>
      </c>
      <c r="F41" t="s">
        <v>426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450</v>
      </c>
      <c r="B42" t="s">
        <v>32</v>
      </c>
      <c r="C42">
        <v>23</v>
      </c>
      <c r="D42">
        <v>0</v>
      </c>
      <c r="E42" t="s">
        <v>451</v>
      </c>
      <c r="F42" t="s">
        <v>426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452</v>
      </c>
      <c r="B43" t="s">
        <v>32</v>
      </c>
      <c r="C43">
        <v>24</v>
      </c>
      <c r="D43">
        <v>0</v>
      </c>
      <c r="E43" t="s">
        <v>88</v>
      </c>
      <c r="F43" t="s">
        <v>426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453</v>
      </c>
      <c r="B44" t="s">
        <v>32</v>
      </c>
      <c r="C44">
        <v>25</v>
      </c>
      <c r="D44">
        <v>5</v>
      </c>
      <c r="E44" t="s">
        <v>454</v>
      </c>
      <c r="F44" t="s">
        <v>426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455</v>
      </c>
      <c r="B45" t="s">
        <v>44</v>
      </c>
      <c r="C45">
        <v>29</v>
      </c>
      <c r="D45">
        <v>8</v>
      </c>
      <c r="E45" t="s">
        <v>75</v>
      </c>
      <c r="F45" t="s">
        <v>426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456</v>
      </c>
      <c r="B46" t="s">
        <v>44</v>
      </c>
      <c r="C46">
        <v>23</v>
      </c>
      <c r="D46">
        <v>0</v>
      </c>
      <c r="E46" t="s">
        <v>457</v>
      </c>
      <c r="F46" t="s">
        <v>426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458</v>
      </c>
      <c r="B47" t="s">
        <v>44</v>
      </c>
      <c r="C47">
        <v>23</v>
      </c>
      <c r="D47">
        <v>3</v>
      </c>
      <c r="E47" t="s">
        <v>222</v>
      </c>
      <c r="F47" t="s">
        <v>426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459</v>
      </c>
      <c r="B48" t="s">
        <v>44</v>
      </c>
      <c r="C48">
        <v>24</v>
      </c>
      <c r="D48">
        <v>4</v>
      </c>
      <c r="E48" t="s">
        <v>460</v>
      </c>
      <c r="F48" t="s">
        <v>426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461</v>
      </c>
      <c r="B49" t="s">
        <v>44</v>
      </c>
      <c r="C49">
        <v>24</v>
      </c>
      <c r="D49">
        <v>0</v>
      </c>
      <c r="E49" t="s">
        <v>462</v>
      </c>
      <c r="F49" t="s">
        <v>426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463</v>
      </c>
      <c r="B50" t="s">
        <v>44</v>
      </c>
      <c r="C50">
        <v>23</v>
      </c>
      <c r="D50">
        <v>0</v>
      </c>
      <c r="E50" t="s">
        <v>419</v>
      </c>
      <c r="F50" t="s">
        <v>426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464</v>
      </c>
      <c r="B51" t="s">
        <v>44</v>
      </c>
      <c r="C51">
        <v>27</v>
      </c>
      <c r="D51">
        <v>3</v>
      </c>
      <c r="E51" t="s">
        <v>97</v>
      </c>
      <c r="F51" t="s">
        <v>426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465</v>
      </c>
      <c r="B52" t="s">
        <v>44</v>
      </c>
      <c r="C52">
        <v>23</v>
      </c>
      <c r="D52">
        <v>0</v>
      </c>
      <c r="E52" t="s">
        <v>466</v>
      </c>
      <c r="F52" t="s">
        <v>426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467</v>
      </c>
      <c r="B53" t="s">
        <v>44</v>
      </c>
      <c r="C53">
        <v>24</v>
      </c>
      <c r="D53">
        <v>0</v>
      </c>
      <c r="E53" t="s">
        <v>63</v>
      </c>
      <c r="F53" t="s">
        <v>426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468</v>
      </c>
      <c r="B54" t="s">
        <v>44</v>
      </c>
      <c r="C54">
        <v>25</v>
      </c>
      <c r="D54">
        <v>1</v>
      </c>
      <c r="E54" t="s">
        <v>469</v>
      </c>
      <c r="F54" t="s">
        <v>426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470</v>
      </c>
      <c r="B55" t="s">
        <v>44</v>
      </c>
      <c r="C55">
        <v>26</v>
      </c>
      <c r="D55">
        <v>5</v>
      </c>
      <c r="E55" t="s">
        <v>247</v>
      </c>
      <c r="F55" t="s">
        <v>426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471</v>
      </c>
      <c r="B56" t="s">
        <v>44</v>
      </c>
      <c r="C56">
        <v>29</v>
      </c>
      <c r="D56">
        <v>6</v>
      </c>
      <c r="E56" t="s">
        <v>65</v>
      </c>
      <c r="F56" t="s">
        <v>426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472</v>
      </c>
      <c r="B57" t="s">
        <v>39</v>
      </c>
      <c r="C57">
        <v>25</v>
      </c>
      <c r="D57">
        <v>4</v>
      </c>
      <c r="E57" t="s">
        <v>473</v>
      </c>
      <c r="F57" t="s">
        <v>426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474</v>
      </c>
      <c r="B58" t="s">
        <v>39</v>
      </c>
      <c r="C58">
        <v>27</v>
      </c>
      <c r="D58">
        <v>2</v>
      </c>
      <c r="E58" t="s">
        <v>340</v>
      </c>
      <c r="F58" t="s">
        <v>426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475</v>
      </c>
      <c r="B59" t="s">
        <v>39</v>
      </c>
      <c r="C59">
        <v>28</v>
      </c>
      <c r="D59">
        <v>4</v>
      </c>
      <c r="E59" t="s">
        <v>476</v>
      </c>
      <c r="F59" t="s">
        <v>426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477</v>
      </c>
      <c r="B60" t="s">
        <v>39</v>
      </c>
      <c r="C60">
        <v>27</v>
      </c>
      <c r="D60">
        <v>5</v>
      </c>
      <c r="E60" t="s">
        <v>85</v>
      </c>
      <c r="F60" t="s">
        <v>426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478</v>
      </c>
      <c r="B61" t="s">
        <v>39</v>
      </c>
      <c r="C61">
        <v>24</v>
      </c>
      <c r="D61">
        <v>5</v>
      </c>
      <c r="E61" t="s">
        <v>153</v>
      </c>
      <c r="F61" t="s">
        <v>426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479</v>
      </c>
      <c r="B62" t="s">
        <v>39</v>
      </c>
      <c r="C62">
        <v>24</v>
      </c>
      <c r="D62">
        <v>0</v>
      </c>
      <c r="E62" t="s">
        <v>71</v>
      </c>
      <c r="F62" t="s">
        <v>426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480</v>
      </c>
      <c r="B2" t="s">
        <v>481</v>
      </c>
      <c r="C2" t="s">
        <v>27</v>
      </c>
      <c r="D2">
        <v>6</v>
      </c>
      <c r="E2">
        <v>170</v>
      </c>
      <c r="F2">
        <v>99</v>
      </c>
      <c r="G2">
        <v>1102</v>
      </c>
      <c r="H2">
        <v>7</v>
      </c>
      <c r="I2">
        <v>5</v>
      </c>
      <c r="J2">
        <v>36</v>
      </c>
      <c r="K2">
        <v>175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85.58</v>
      </c>
      <c r="T2">
        <v>0</v>
      </c>
      <c r="U2">
        <v>4.8611111111111098</v>
      </c>
      <c r="W2">
        <v>0.58235294117647096</v>
      </c>
      <c r="X2">
        <v>4.11764705882353E-2</v>
      </c>
      <c r="Y2">
        <v>90.58</v>
      </c>
    </row>
    <row r="3" spans="1:25" x14ac:dyDescent="0.2">
      <c r="A3" t="s">
        <v>482</v>
      </c>
      <c r="B3" t="s">
        <v>481</v>
      </c>
      <c r="C3" t="s">
        <v>27</v>
      </c>
      <c r="D3">
        <v>14</v>
      </c>
      <c r="E3">
        <v>369</v>
      </c>
      <c r="F3">
        <v>236</v>
      </c>
      <c r="G3">
        <v>2608</v>
      </c>
      <c r="H3">
        <v>12</v>
      </c>
      <c r="I3">
        <v>6</v>
      </c>
      <c r="J3">
        <v>49</v>
      </c>
      <c r="K3">
        <v>243</v>
      </c>
      <c r="L3">
        <v>2</v>
      </c>
      <c r="M3">
        <v>0</v>
      </c>
      <c r="N3">
        <v>0</v>
      </c>
      <c r="O3">
        <v>0</v>
      </c>
      <c r="P3">
        <v>0</v>
      </c>
      <c r="Q3">
        <v>4</v>
      </c>
      <c r="R3">
        <v>0</v>
      </c>
      <c r="S3">
        <v>168.62</v>
      </c>
      <c r="T3">
        <v>0</v>
      </c>
      <c r="U3">
        <v>4.9591836734693899</v>
      </c>
      <c r="W3">
        <v>0.63956639566395701</v>
      </c>
      <c r="X3">
        <v>3.2520325203252001E-2</v>
      </c>
      <c r="Y3">
        <v>174.62</v>
      </c>
    </row>
    <row r="4" spans="1:25" x14ac:dyDescent="0.2">
      <c r="A4" t="s">
        <v>483</v>
      </c>
      <c r="B4" t="s">
        <v>481</v>
      </c>
      <c r="C4" t="s">
        <v>32</v>
      </c>
      <c r="D4">
        <v>4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-4</v>
      </c>
      <c r="L4">
        <v>0</v>
      </c>
      <c r="M4">
        <v>4</v>
      </c>
      <c r="N4">
        <v>2</v>
      </c>
      <c r="O4">
        <v>8</v>
      </c>
      <c r="P4">
        <v>0</v>
      </c>
      <c r="Q4">
        <v>0</v>
      </c>
      <c r="R4">
        <v>0</v>
      </c>
      <c r="S4">
        <v>2.4</v>
      </c>
      <c r="T4">
        <v>6.5573770491803296E-3</v>
      </c>
      <c r="U4">
        <v>-4</v>
      </c>
      <c r="V4">
        <v>4</v>
      </c>
      <c r="Y4">
        <v>1.4</v>
      </c>
    </row>
    <row r="5" spans="1:25" x14ac:dyDescent="0.2">
      <c r="A5" t="s">
        <v>252</v>
      </c>
      <c r="B5" t="s">
        <v>481</v>
      </c>
      <c r="C5" t="s">
        <v>32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17</v>
      </c>
      <c r="L5">
        <v>0</v>
      </c>
      <c r="M5">
        <v>3</v>
      </c>
      <c r="N5">
        <v>3</v>
      </c>
      <c r="O5">
        <v>7</v>
      </c>
      <c r="P5">
        <v>0</v>
      </c>
      <c r="Q5">
        <v>0</v>
      </c>
      <c r="R5">
        <v>0</v>
      </c>
      <c r="S5">
        <v>5.4</v>
      </c>
      <c r="T5">
        <v>4.9180327868852498E-3</v>
      </c>
      <c r="U5">
        <v>4.25</v>
      </c>
      <c r="V5">
        <v>2.3333333333333299</v>
      </c>
      <c r="Y5">
        <v>3.9</v>
      </c>
    </row>
    <row r="6" spans="1:25" x14ac:dyDescent="0.2">
      <c r="A6" t="s">
        <v>484</v>
      </c>
      <c r="B6" t="s">
        <v>481</v>
      </c>
      <c r="C6" t="s">
        <v>32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8</v>
      </c>
      <c r="K6">
        <v>12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1.2</v>
      </c>
      <c r="T6">
        <v>0</v>
      </c>
      <c r="U6">
        <v>1.5</v>
      </c>
      <c r="Y6">
        <v>1.2</v>
      </c>
    </row>
    <row r="7" spans="1:25" x14ac:dyDescent="0.2">
      <c r="A7" t="s">
        <v>485</v>
      </c>
      <c r="B7" t="s">
        <v>481</v>
      </c>
      <c r="C7" t="s">
        <v>32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123</v>
      </c>
      <c r="K7">
        <v>468</v>
      </c>
      <c r="L7">
        <v>3</v>
      </c>
      <c r="M7">
        <v>44</v>
      </c>
      <c r="N7">
        <v>35</v>
      </c>
      <c r="O7">
        <v>210</v>
      </c>
      <c r="P7">
        <v>1</v>
      </c>
      <c r="Q7">
        <v>0</v>
      </c>
      <c r="R7">
        <v>0</v>
      </c>
      <c r="S7">
        <v>126.8</v>
      </c>
      <c r="T7">
        <v>7.2131147540983598E-2</v>
      </c>
      <c r="U7">
        <v>3.8048780487804899</v>
      </c>
      <c r="V7">
        <v>6</v>
      </c>
      <c r="Y7">
        <v>109.3</v>
      </c>
    </row>
    <row r="8" spans="1:25" x14ac:dyDescent="0.2">
      <c r="A8" t="s">
        <v>486</v>
      </c>
      <c r="B8" t="s">
        <v>481</v>
      </c>
      <c r="C8" t="s">
        <v>32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302</v>
      </c>
      <c r="K8">
        <v>1525</v>
      </c>
      <c r="L8">
        <v>12</v>
      </c>
      <c r="M8">
        <v>37</v>
      </c>
      <c r="N8">
        <v>27</v>
      </c>
      <c r="O8">
        <v>239</v>
      </c>
      <c r="P8">
        <v>1</v>
      </c>
      <c r="Q8">
        <v>1</v>
      </c>
      <c r="R8">
        <v>1</v>
      </c>
      <c r="S8">
        <v>281.39999999999998</v>
      </c>
      <c r="T8">
        <v>6.0655737704918E-2</v>
      </c>
      <c r="U8">
        <v>5.0496688741721902</v>
      </c>
      <c r="V8">
        <v>8.8518518518518494</v>
      </c>
      <c r="Y8">
        <v>267.89999999999998</v>
      </c>
    </row>
    <row r="9" spans="1:25" x14ac:dyDescent="0.2">
      <c r="A9" t="s">
        <v>487</v>
      </c>
      <c r="B9" t="s">
        <v>481</v>
      </c>
      <c r="C9" t="s">
        <v>39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-8</v>
      </c>
      <c r="L9">
        <v>0</v>
      </c>
      <c r="M9">
        <v>80</v>
      </c>
      <c r="N9">
        <v>58</v>
      </c>
      <c r="O9">
        <v>628</v>
      </c>
      <c r="P9">
        <v>4</v>
      </c>
      <c r="Q9">
        <v>0</v>
      </c>
      <c r="R9">
        <v>0</v>
      </c>
      <c r="S9">
        <v>142</v>
      </c>
      <c r="T9">
        <v>0.13114754098360701</v>
      </c>
      <c r="U9">
        <v>-4</v>
      </c>
      <c r="V9">
        <v>10.8275862068966</v>
      </c>
      <c r="Y9">
        <v>115</v>
      </c>
    </row>
    <row r="10" spans="1:25" x14ac:dyDescent="0.2">
      <c r="A10" t="s">
        <v>488</v>
      </c>
      <c r="B10" t="s">
        <v>481</v>
      </c>
      <c r="C10" t="s">
        <v>39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8</v>
      </c>
      <c r="L10">
        <v>0</v>
      </c>
      <c r="M10">
        <v>42</v>
      </c>
      <c r="N10">
        <v>31</v>
      </c>
      <c r="O10">
        <v>239</v>
      </c>
      <c r="P10">
        <v>1</v>
      </c>
      <c r="Q10">
        <v>0</v>
      </c>
      <c r="R10">
        <v>0</v>
      </c>
      <c r="S10">
        <v>61.7</v>
      </c>
      <c r="T10">
        <v>6.8852459016393405E-2</v>
      </c>
      <c r="U10">
        <v>8</v>
      </c>
      <c r="V10">
        <v>7.7096774193548399</v>
      </c>
      <c r="Y10">
        <v>46.2</v>
      </c>
    </row>
    <row r="11" spans="1:25" x14ac:dyDescent="0.2">
      <c r="A11" t="s">
        <v>489</v>
      </c>
      <c r="B11" t="s">
        <v>481</v>
      </c>
      <c r="C11" t="s">
        <v>39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1.63934426229508E-3</v>
      </c>
      <c r="Y11">
        <v>0</v>
      </c>
    </row>
    <row r="12" spans="1:25" x14ac:dyDescent="0.2">
      <c r="A12" t="s">
        <v>490</v>
      </c>
      <c r="B12" t="s">
        <v>481</v>
      </c>
      <c r="C12" t="s">
        <v>39</v>
      </c>
      <c r="D12">
        <v>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10</v>
      </c>
      <c r="N12">
        <v>5</v>
      </c>
      <c r="O12">
        <v>45</v>
      </c>
      <c r="P12">
        <v>0</v>
      </c>
      <c r="Q12">
        <v>0</v>
      </c>
      <c r="R12">
        <v>0</v>
      </c>
      <c r="S12">
        <v>9.5</v>
      </c>
      <c r="T12">
        <v>1.63934426229508E-2</v>
      </c>
      <c r="V12">
        <v>9</v>
      </c>
      <c r="Y12">
        <v>7</v>
      </c>
    </row>
    <row r="13" spans="1:25" x14ac:dyDescent="0.2">
      <c r="A13" t="s">
        <v>491</v>
      </c>
      <c r="B13" t="s">
        <v>481</v>
      </c>
      <c r="C13" t="s">
        <v>44</v>
      </c>
      <c r="D13">
        <v>17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132</v>
      </c>
      <c r="N13">
        <v>78</v>
      </c>
      <c r="O13">
        <v>1160</v>
      </c>
      <c r="P13">
        <v>9</v>
      </c>
      <c r="Q13">
        <v>0</v>
      </c>
      <c r="R13">
        <v>0</v>
      </c>
      <c r="S13">
        <v>246</v>
      </c>
      <c r="T13">
        <v>0.21639344262295099</v>
      </c>
      <c r="V13">
        <v>14.871794871794901</v>
      </c>
      <c r="W13">
        <v>0</v>
      </c>
      <c r="X13">
        <v>0</v>
      </c>
      <c r="Y13">
        <v>209</v>
      </c>
    </row>
    <row r="14" spans="1:25" x14ac:dyDescent="0.2">
      <c r="A14" t="s">
        <v>492</v>
      </c>
      <c r="B14" t="s">
        <v>481</v>
      </c>
      <c r="C14" t="s">
        <v>44</v>
      </c>
      <c r="D14">
        <v>6</v>
      </c>
      <c r="E14">
        <v>0</v>
      </c>
      <c r="F14">
        <v>0</v>
      </c>
      <c r="G14">
        <v>0</v>
      </c>
      <c r="H14">
        <v>0</v>
      </c>
      <c r="I14">
        <v>0</v>
      </c>
      <c r="J14">
        <v>4</v>
      </c>
      <c r="K14">
        <v>57</v>
      </c>
      <c r="L14">
        <v>1</v>
      </c>
      <c r="M14">
        <v>10</v>
      </c>
      <c r="N14">
        <v>4</v>
      </c>
      <c r="O14">
        <v>51</v>
      </c>
      <c r="P14">
        <v>0</v>
      </c>
      <c r="Q14">
        <v>0</v>
      </c>
      <c r="R14">
        <v>0</v>
      </c>
      <c r="S14">
        <v>18.8</v>
      </c>
      <c r="T14">
        <v>1.63934426229508E-2</v>
      </c>
      <c r="U14">
        <v>14.25</v>
      </c>
      <c r="V14">
        <v>12.75</v>
      </c>
      <c r="Y14">
        <v>18.8</v>
      </c>
    </row>
    <row r="15" spans="1:25" x14ac:dyDescent="0.2">
      <c r="A15" t="s">
        <v>493</v>
      </c>
      <c r="B15" t="s">
        <v>481</v>
      </c>
      <c r="C15" t="s">
        <v>44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25</v>
      </c>
      <c r="P15">
        <v>0</v>
      </c>
      <c r="Q15">
        <v>0</v>
      </c>
      <c r="R15">
        <v>0</v>
      </c>
      <c r="S15">
        <v>4.5</v>
      </c>
      <c r="T15">
        <v>3.27868852459016E-3</v>
      </c>
      <c r="V15">
        <v>12.5</v>
      </c>
      <c r="Y15">
        <v>3.5</v>
      </c>
    </row>
    <row r="16" spans="1:25" x14ac:dyDescent="0.2">
      <c r="A16" t="s">
        <v>494</v>
      </c>
      <c r="B16" t="s">
        <v>481</v>
      </c>
      <c r="C16" t="s">
        <v>44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35</v>
      </c>
      <c r="N16">
        <v>24</v>
      </c>
      <c r="O16">
        <v>214</v>
      </c>
      <c r="P16">
        <v>0</v>
      </c>
      <c r="Q16">
        <v>0</v>
      </c>
      <c r="R16">
        <v>0</v>
      </c>
      <c r="S16">
        <v>45.4</v>
      </c>
      <c r="T16">
        <v>5.7377049180327898E-2</v>
      </c>
      <c r="V16">
        <v>8.9166666666666696</v>
      </c>
      <c r="Y16">
        <v>33.4</v>
      </c>
    </row>
    <row r="17" spans="1:25" x14ac:dyDescent="0.2">
      <c r="A17" t="s">
        <v>495</v>
      </c>
      <c r="B17" t="s">
        <v>481</v>
      </c>
      <c r="C17" t="s">
        <v>44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96</v>
      </c>
      <c r="N17">
        <v>61</v>
      </c>
      <c r="O17">
        <v>839</v>
      </c>
      <c r="P17">
        <v>3</v>
      </c>
      <c r="Q17">
        <v>0</v>
      </c>
      <c r="R17">
        <v>0</v>
      </c>
      <c r="S17">
        <v>167.1</v>
      </c>
      <c r="T17">
        <v>0.15737704918032799</v>
      </c>
      <c r="U17">
        <v>2</v>
      </c>
      <c r="V17">
        <v>13.7540983606557</v>
      </c>
      <c r="Y17">
        <v>132.6</v>
      </c>
    </row>
    <row r="18" spans="1:25" x14ac:dyDescent="0.2">
      <c r="A18" t="s">
        <v>496</v>
      </c>
      <c r="B18" t="s">
        <v>481</v>
      </c>
      <c r="C18" t="s">
        <v>44</v>
      </c>
      <c r="D18">
        <v>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-5</v>
      </c>
      <c r="L18">
        <v>0</v>
      </c>
      <c r="M18">
        <v>10</v>
      </c>
      <c r="N18">
        <v>5</v>
      </c>
      <c r="O18">
        <v>45</v>
      </c>
      <c r="P18">
        <v>0</v>
      </c>
      <c r="Q18">
        <v>0</v>
      </c>
      <c r="R18">
        <v>0</v>
      </c>
      <c r="S18">
        <v>9</v>
      </c>
      <c r="T18">
        <v>1.63934426229508E-2</v>
      </c>
      <c r="U18">
        <v>-5</v>
      </c>
      <c r="V18">
        <v>9</v>
      </c>
      <c r="Y18">
        <v>6.5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481</v>
      </c>
      <c r="B31">
        <v>6200</v>
      </c>
      <c r="C31">
        <v>3710</v>
      </c>
      <c r="D31">
        <v>532</v>
      </c>
      <c r="E31">
        <v>2490</v>
      </c>
      <c r="F31">
        <v>19</v>
      </c>
      <c r="G31">
        <v>1375.4</v>
      </c>
      <c r="H31">
        <v>540</v>
      </c>
      <c r="I31">
        <v>0.62037037037037002</v>
      </c>
      <c r="J31">
        <v>19</v>
      </c>
      <c r="K31">
        <v>12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497</v>
      </c>
      <c r="B36" t="s">
        <v>27</v>
      </c>
      <c r="C36">
        <v>28</v>
      </c>
      <c r="D36">
        <v>7</v>
      </c>
      <c r="E36" t="s">
        <v>141</v>
      </c>
      <c r="F36" t="s">
        <v>481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498</v>
      </c>
      <c r="B37" t="s">
        <v>27</v>
      </c>
      <c r="C37">
        <v>24</v>
      </c>
      <c r="D37">
        <v>3</v>
      </c>
      <c r="E37" t="s">
        <v>454</v>
      </c>
      <c r="F37" t="s">
        <v>481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499</v>
      </c>
      <c r="B38" t="s">
        <v>27</v>
      </c>
      <c r="C38">
        <v>23</v>
      </c>
      <c r="D38">
        <v>0</v>
      </c>
      <c r="E38" t="s">
        <v>473</v>
      </c>
      <c r="F38" t="s">
        <v>481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500</v>
      </c>
      <c r="B39" t="s">
        <v>27</v>
      </c>
      <c r="C39">
        <v>27</v>
      </c>
      <c r="D39">
        <v>7</v>
      </c>
      <c r="E39" t="s">
        <v>460</v>
      </c>
      <c r="F39" t="s">
        <v>481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501</v>
      </c>
      <c r="B40" t="s">
        <v>32</v>
      </c>
      <c r="C40">
        <v>27</v>
      </c>
      <c r="D40">
        <v>6</v>
      </c>
      <c r="E40" t="s">
        <v>171</v>
      </c>
      <c r="F40" t="s">
        <v>481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502</v>
      </c>
      <c r="B41" t="s">
        <v>32</v>
      </c>
      <c r="C41">
        <v>24</v>
      </c>
      <c r="D41">
        <v>3</v>
      </c>
      <c r="E41" t="s">
        <v>473</v>
      </c>
      <c r="F41" t="s">
        <v>481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503</v>
      </c>
      <c r="B42" t="s">
        <v>32</v>
      </c>
      <c r="C42">
        <v>23</v>
      </c>
      <c r="D42">
        <v>2</v>
      </c>
      <c r="E42" t="s">
        <v>133</v>
      </c>
      <c r="F42" t="s">
        <v>481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504</v>
      </c>
      <c r="B43" t="s">
        <v>32</v>
      </c>
      <c r="C43">
        <v>22</v>
      </c>
      <c r="D43">
        <v>0</v>
      </c>
      <c r="E43" t="s">
        <v>457</v>
      </c>
      <c r="F43" t="s">
        <v>481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505</v>
      </c>
      <c r="B44" t="s">
        <v>32</v>
      </c>
      <c r="C44">
        <v>26</v>
      </c>
      <c r="D44">
        <v>2</v>
      </c>
      <c r="E44" t="s">
        <v>141</v>
      </c>
      <c r="F44" t="s">
        <v>481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506</v>
      </c>
      <c r="B45" t="s">
        <v>32</v>
      </c>
      <c r="C45">
        <v>24</v>
      </c>
      <c r="D45">
        <v>1</v>
      </c>
      <c r="E45" t="s">
        <v>507</v>
      </c>
      <c r="F45" t="s">
        <v>481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508</v>
      </c>
      <c r="B46" t="s">
        <v>44</v>
      </c>
      <c r="C46">
        <v>23</v>
      </c>
      <c r="D46">
        <v>1</v>
      </c>
      <c r="E46" t="s">
        <v>100</v>
      </c>
      <c r="F46" t="s">
        <v>481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509</v>
      </c>
      <c r="B47" t="s">
        <v>44</v>
      </c>
      <c r="C47">
        <v>22</v>
      </c>
      <c r="D47">
        <v>2</v>
      </c>
      <c r="E47" t="s">
        <v>63</v>
      </c>
      <c r="F47" t="s">
        <v>481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510</v>
      </c>
      <c r="B48" t="s">
        <v>44</v>
      </c>
      <c r="C48">
        <v>29</v>
      </c>
      <c r="D48">
        <v>9</v>
      </c>
      <c r="E48" t="s">
        <v>153</v>
      </c>
      <c r="F48" t="s">
        <v>481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511</v>
      </c>
      <c r="B49" t="s">
        <v>44</v>
      </c>
      <c r="C49">
        <v>24</v>
      </c>
      <c r="D49">
        <v>3</v>
      </c>
      <c r="E49" t="s">
        <v>512</v>
      </c>
      <c r="F49" t="s">
        <v>481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513</v>
      </c>
      <c r="B50" t="s">
        <v>44</v>
      </c>
      <c r="C50">
        <v>32</v>
      </c>
      <c r="D50">
        <v>10</v>
      </c>
      <c r="E50" t="s">
        <v>67</v>
      </c>
      <c r="F50" t="s">
        <v>481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514</v>
      </c>
      <c r="B51" t="s">
        <v>44</v>
      </c>
      <c r="C51">
        <v>30</v>
      </c>
      <c r="D51">
        <v>8</v>
      </c>
      <c r="E51" t="s">
        <v>515</v>
      </c>
      <c r="F51" t="s">
        <v>481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516</v>
      </c>
      <c r="B52" t="s">
        <v>44</v>
      </c>
      <c r="C52">
        <v>25</v>
      </c>
      <c r="D52">
        <v>1</v>
      </c>
      <c r="E52" t="s">
        <v>398</v>
      </c>
      <c r="F52" t="s">
        <v>481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517</v>
      </c>
      <c r="B53" t="s">
        <v>44</v>
      </c>
      <c r="C53">
        <v>25</v>
      </c>
      <c r="D53">
        <v>1</v>
      </c>
      <c r="E53" t="s">
        <v>412</v>
      </c>
      <c r="F53" t="s">
        <v>481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518</v>
      </c>
      <c r="B54" t="s">
        <v>44</v>
      </c>
      <c r="C54">
        <v>23</v>
      </c>
      <c r="D54">
        <v>3</v>
      </c>
      <c r="E54" t="s">
        <v>239</v>
      </c>
      <c r="F54" t="s">
        <v>481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519</v>
      </c>
      <c r="B55" t="s">
        <v>44</v>
      </c>
      <c r="C55">
        <v>24</v>
      </c>
      <c r="D55">
        <v>4</v>
      </c>
      <c r="E55" t="s">
        <v>100</v>
      </c>
      <c r="F55" t="s">
        <v>481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520</v>
      </c>
      <c r="B56" t="s">
        <v>44</v>
      </c>
      <c r="C56">
        <v>22</v>
      </c>
      <c r="D56">
        <v>3</v>
      </c>
      <c r="E56" t="s">
        <v>466</v>
      </c>
      <c r="F56" t="s">
        <v>481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521</v>
      </c>
      <c r="B57" t="s">
        <v>44</v>
      </c>
      <c r="C57">
        <v>23</v>
      </c>
      <c r="D57">
        <v>0</v>
      </c>
      <c r="E57" t="s">
        <v>141</v>
      </c>
      <c r="F57" t="s">
        <v>481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522</v>
      </c>
      <c r="B58" t="s">
        <v>44</v>
      </c>
      <c r="C58">
        <v>23</v>
      </c>
      <c r="D58">
        <v>2</v>
      </c>
      <c r="E58" t="s">
        <v>69</v>
      </c>
      <c r="F58" t="s">
        <v>481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523</v>
      </c>
      <c r="B59" t="s">
        <v>39</v>
      </c>
      <c r="C59">
        <v>31</v>
      </c>
      <c r="D59">
        <v>6</v>
      </c>
      <c r="E59" t="s">
        <v>281</v>
      </c>
      <c r="F59" t="s">
        <v>481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524</v>
      </c>
      <c r="B60" t="s">
        <v>39</v>
      </c>
      <c r="C60">
        <v>25</v>
      </c>
      <c r="D60">
        <v>4</v>
      </c>
      <c r="E60" t="s">
        <v>525</v>
      </c>
      <c r="F60" t="s">
        <v>481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526</v>
      </c>
      <c r="B61" t="s">
        <v>39</v>
      </c>
      <c r="C61">
        <v>24</v>
      </c>
      <c r="D61">
        <v>0</v>
      </c>
      <c r="E61" t="s">
        <v>527</v>
      </c>
      <c r="F61" t="s">
        <v>481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528</v>
      </c>
      <c r="B62" t="s">
        <v>39</v>
      </c>
      <c r="C62">
        <v>23</v>
      </c>
      <c r="D62">
        <v>1</v>
      </c>
      <c r="E62" t="s">
        <v>525</v>
      </c>
      <c r="F62" t="s">
        <v>481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529</v>
      </c>
      <c r="B63" t="s">
        <v>39</v>
      </c>
      <c r="C63">
        <v>27</v>
      </c>
      <c r="D63">
        <v>7</v>
      </c>
      <c r="E63" t="s">
        <v>398</v>
      </c>
      <c r="F63" t="s">
        <v>481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B64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530</v>
      </c>
      <c r="B2" t="s">
        <v>531</v>
      </c>
      <c r="C2" t="s">
        <v>27</v>
      </c>
      <c r="D2">
        <v>8</v>
      </c>
      <c r="E2">
        <v>162</v>
      </c>
      <c r="F2">
        <v>94</v>
      </c>
      <c r="G2">
        <v>1051</v>
      </c>
      <c r="H2">
        <v>5</v>
      </c>
      <c r="I2">
        <v>3</v>
      </c>
      <c r="J2">
        <v>9</v>
      </c>
      <c r="K2">
        <v>6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56.64</v>
      </c>
      <c r="T2">
        <v>0</v>
      </c>
      <c r="U2">
        <v>0.66666666666666696</v>
      </c>
      <c r="W2">
        <v>0.58024691358024705</v>
      </c>
      <c r="X2">
        <v>3.0864197530864199E-2</v>
      </c>
      <c r="Y2">
        <v>59.64</v>
      </c>
    </row>
    <row r="3" spans="1:25" x14ac:dyDescent="0.2">
      <c r="A3" t="s">
        <v>532</v>
      </c>
      <c r="B3" t="s">
        <v>531</v>
      </c>
      <c r="C3" t="s">
        <v>27</v>
      </c>
      <c r="D3">
        <v>12</v>
      </c>
      <c r="E3">
        <v>394</v>
      </c>
      <c r="F3">
        <v>261</v>
      </c>
      <c r="G3">
        <v>2860</v>
      </c>
      <c r="H3">
        <v>23</v>
      </c>
      <c r="I3">
        <v>15</v>
      </c>
      <c r="J3">
        <v>45</v>
      </c>
      <c r="K3">
        <v>182</v>
      </c>
      <c r="L3">
        <v>1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198.6</v>
      </c>
      <c r="T3">
        <v>0</v>
      </c>
      <c r="U3">
        <v>4.0444444444444398</v>
      </c>
      <c r="W3">
        <v>0.66243654822334996</v>
      </c>
      <c r="X3">
        <v>5.8375634517766499E-2</v>
      </c>
      <c r="Y3">
        <v>213.6</v>
      </c>
    </row>
    <row r="4" spans="1:25" x14ac:dyDescent="0.2">
      <c r="A4" t="s">
        <v>533</v>
      </c>
      <c r="B4" t="s">
        <v>531</v>
      </c>
      <c r="C4" t="s">
        <v>32</v>
      </c>
      <c r="D4">
        <v>15</v>
      </c>
      <c r="E4">
        <v>0</v>
      </c>
      <c r="F4">
        <v>0</v>
      </c>
      <c r="G4">
        <v>0</v>
      </c>
      <c r="H4">
        <v>0</v>
      </c>
      <c r="I4">
        <v>0</v>
      </c>
      <c r="J4">
        <v>231</v>
      </c>
      <c r="K4">
        <v>876</v>
      </c>
      <c r="L4">
        <v>12</v>
      </c>
      <c r="M4">
        <v>23</v>
      </c>
      <c r="N4">
        <v>17</v>
      </c>
      <c r="O4">
        <v>92</v>
      </c>
      <c r="P4">
        <v>0</v>
      </c>
      <c r="Q4">
        <v>0</v>
      </c>
      <c r="R4">
        <v>0</v>
      </c>
      <c r="S4">
        <v>185.8</v>
      </c>
      <c r="T4">
        <v>4.2592592592592599E-2</v>
      </c>
      <c r="U4">
        <v>3.7922077922077899</v>
      </c>
      <c r="V4">
        <v>5.4117647058823497</v>
      </c>
      <c r="Y4">
        <v>177.3</v>
      </c>
    </row>
    <row r="5" spans="1:25" x14ac:dyDescent="0.2">
      <c r="A5" t="s">
        <v>188</v>
      </c>
      <c r="B5" t="s">
        <v>531</v>
      </c>
      <c r="C5" t="s">
        <v>32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38</v>
      </c>
      <c r="K5">
        <v>161</v>
      </c>
      <c r="L5">
        <v>1</v>
      </c>
      <c r="M5">
        <v>7</v>
      </c>
      <c r="N5">
        <v>6</v>
      </c>
      <c r="O5">
        <v>63</v>
      </c>
      <c r="P5">
        <v>0</v>
      </c>
      <c r="Q5">
        <v>0</v>
      </c>
      <c r="R5">
        <v>0</v>
      </c>
      <c r="S5">
        <v>34.4</v>
      </c>
      <c r="T5">
        <v>1.2962962962963001E-2</v>
      </c>
      <c r="U5">
        <v>4.2368421052631602</v>
      </c>
      <c r="V5">
        <v>10.5</v>
      </c>
      <c r="Y5">
        <v>31.4</v>
      </c>
    </row>
    <row r="6" spans="1:25" x14ac:dyDescent="0.2">
      <c r="A6" t="s">
        <v>534</v>
      </c>
      <c r="B6" t="s">
        <v>531</v>
      </c>
      <c r="C6" t="s">
        <v>32</v>
      </c>
      <c r="D6">
        <v>16</v>
      </c>
      <c r="E6">
        <v>0</v>
      </c>
      <c r="F6">
        <v>0</v>
      </c>
      <c r="G6">
        <v>0</v>
      </c>
      <c r="H6">
        <v>0</v>
      </c>
      <c r="I6">
        <v>0</v>
      </c>
      <c r="J6">
        <v>193</v>
      </c>
      <c r="K6">
        <v>1007</v>
      </c>
      <c r="L6">
        <v>9</v>
      </c>
      <c r="M6">
        <v>55</v>
      </c>
      <c r="N6">
        <v>39</v>
      </c>
      <c r="O6">
        <v>371</v>
      </c>
      <c r="P6">
        <v>3</v>
      </c>
      <c r="Q6">
        <v>0</v>
      </c>
      <c r="R6">
        <v>0</v>
      </c>
      <c r="S6">
        <v>248.8</v>
      </c>
      <c r="T6">
        <v>0.101851851851852</v>
      </c>
      <c r="U6">
        <v>5.2176165803108798</v>
      </c>
      <c r="V6">
        <v>9.5128205128205092</v>
      </c>
      <c r="Y6">
        <v>229.3</v>
      </c>
    </row>
    <row r="7" spans="1:25" x14ac:dyDescent="0.2">
      <c r="A7" t="s">
        <v>535</v>
      </c>
      <c r="B7" t="s">
        <v>531</v>
      </c>
      <c r="C7" t="s">
        <v>39</v>
      </c>
      <c r="D7">
        <v>15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89</v>
      </c>
      <c r="N7">
        <v>57</v>
      </c>
      <c r="O7">
        <v>577</v>
      </c>
      <c r="P7">
        <v>5</v>
      </c>
      <c r="Q7">
        <v>0</v>
      </c>
      <c r="R7">
        <v>0</v>
      </c>
      <c r="S7">
        <v>142.69999999999999</v>
      </c>
      <c r="T7">
        <v>0.164814814814815</v>
      </c>
      <c r="V7">
        <v>10.1228070175439</v>
      </c>
      <c r="Y7">
        <v>116.2</v>
      </c>
    </row>
    <row r="8" spans="1:25" x14ac:dyDescent="0.2">
      <c r="A8" t="s">
        <v>536</v>
      </c>
      <c r="B8" t="s">
        <v>531</v>
      </c>
      <c r="C8" t="s">
        <v>39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22</v>
      </c>
      <c r="N8">
        <v>19</v>
      </c>
      <c r="O8">
        <v>174</v>
      </c>
      <c r="P8">
        <v>2</v>
      </c>
      <c r="Q8">
        <v>0</v>
      </c>
      <c r="R8">
        <v>0</v>
      </c>
      <c r="S8">
        <v>48.4</v>
      </c>
      <c r="T8">
        <v>4.0740740740740702E-2</v>
      </c>
      <c r="V8">
        <v>9.1578947368421009</v>
      </c>
      <c r="Y8">
        <v>38.9</v>
      </c>
    </row>
    <row r="9" spans="1:25" x14ac:dyDescent="0.2">
      <c r="A9" t="s">
        <v>537</v>
      </c>
      <c r="B9" t="s">
        <v>531</v>
      </c>
      <c r="C9" t="s">
        <v>39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16</v>
      </c>
      <c r="N9">
        <v>11</v>
      </c>
      <c r="O9">
        <v>103</v>
      </c>
      <c r="P9">
        <v>2</v>
      </c>
      <c r="Q9">
        <v>0</v>
      </c>
      <c r="R9">
        <v>0</v>
      </c>
      <c r="S9">
        <v>39.5</v>
      </c>
      <c r="T9">
        <v>2.96296296296296E-2</v>
      </c>
      <c r="U9">
        <v>2</v>
      </c>
      <c r="V9">
        <v>9.3636363636363598</v>
      </c>
      <c r="Y9">
        <v>34</v>
      </c>
    </row>
    <row r="10" spans="1:25" x14ac:dyDescent="0.2">
      <c r="A10" t="s">
        <v>538</v>
      </c>
      <c r="B10" t="s">
        <v>531</v>
      </c>
      <c r="C10" t="s">
        <v>39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</v>
      </c>
      <c r="N10">
        <v>2</v>
      </c>
      <c r="O10">
        <v>11</v>
      </c>
      <c r="P10">
        <v>0</v>
      </c>
      <c r="Q10">
        <v>0</v>
      </c>
      <c r="R10">
        <v>0</v>
      </c>
      <c r="S10">
        <v>3.1</v>
      </c>
      <c r="T10">
        <v>5.5555555555555601E-3</v>
      </c>
      <c r="V10">
        <v>5.5</v>
      </c>
      <c r="Y10">
        <v>2.1</v>
      </c>
    </row>
    <row r="11" spans="1:25" x14ac:dyDescent="0.2">
      <c r="A11" t="s">
        <v>539</v>
      </c>
      <c r="B11" t="s">
        <v>531</v>
      </c>
      <c r="C11" t="s">
        <v>44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10</v>
      </c>
      <c r="K11">
        <v>47</v>
      </c>
      <c r="L11">
        <v>0</v>
      </c>
      <c r="M11">
        <v>156</v>
      </c>
      <c r="N11">
        <v>107</v>
      </c>
      <c r="O11">
        <v>1359</v>
      </c>
      <c r="P11">
        <v>9</v>
      </c>
      <c r="Q11">
        <v>0</v>
      </c>
      <c r="R11">
        <v>0</v>
      </c>
      <c r="S11">
        <v>301.60000000000002</v>
      </c>
      <c r="T11">
        <v>0.28888888888888897</v>
      </c>
      <c r="U11">
        <v>4.7</v>
      </c>
      <c r="V11">
        <v>12.7009345794393</v>
      </c>
      <c r="Y11">
        <v>248.1</v>
      </c>
    </row>
    <row r="12" spans="1:25" x14ac:dyDescent="0.2">
      <c r="A12" t="s">
        <v>540</v>
      </c>
      <c r="B12" t="s">
        <v>531</v>
      </c>
      <c r="C12" t="s">
        <v>44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6</v>
      </c>
      <c r="N12">
        <v>2</v>
      </c>
      <c r="O12">
        <v>16</v>
      </c>
      <c r="P12">
        <v>0</v>
      </c>
      <c r="Q12">
        <v>0</v>
      </c>
      <c r="R12">
        <v>0</v>
      </c>
      <c r="S12">
        <v>3.6</v>
      </c>
      <c r="T12">
        <v>1.1111111111111099E-2</v>
      </c>
      <c r="V12">
        <v>8</v>
      </c>
      <c r="Y12">
        <v>2.6</v>
      </c>
    </row>
    <row r="13" spans="1:25" x14ac:dyDescent="0.2">
      <c r="A13" t="s">
        <v>541</v>
      </c>
      <c r="B13" t="s">
        <v>531</v>
      </c>
      <c r="C13" t="s">
        <v>44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12</v>
      </c>
      <c r="P13">
        <v>0</v>
      </c>
      <c r="Q13">
        <v>0</v>
      </c>
      <c r="R13">
        <v>0</v>
      </c>
      <c r="S13">
        <v>3.2</v>
      </c>
      <c r="T13">
        <v>5.5555555555555601E-3</v>
      </c>
      <c r="V13">
        <v>6</v>
      </c>
      <c r="Y13">
        <v>2.2000000000000002</v>
      </c>
    </row>
    <row r="14" spans="1:25" x14ac:dyDescent="0.2">
      <c r="A14" t="s">
        <v>542</v>
      </c>
      <c r="B14" t="s">
        <v>531</v>
      </c>
      <c r="C14" t="s">
        <v>44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1.85185185185185E-3</v>
      </c>
      <c r="Y14">
        <v>0</v>
      </c>
    </row>
    <row r="15" spans="1:25" x14ac:dyDescent="0.2">
      <c r="A15" t="s">
        <v>543</v>
      </c>
      <c r="B15" t="s">
        <v>531</v>
      </c>
      <c r="C15" t="s">
        <v>44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17</v>
      </c>
      <c r="L15">
        <v>0</v>
      </c>
      <c r="M15">
        <v>2</v>
      </c>
      <c r="N15">
        <v>1</v>
      </c>
      <c r="O15">
        <v>9</v>
      </c>
      <c r="P15">
        <v>0</v>
      </c>
      <c r="Q15">
        <v>0</v>
      </c>
      <c r="R15">
        <v>0</v>
      </c>
      <c r="S15">
        <v>3.6</v>
      </c>
      <c r="T15">
        <v>3.7037037037036999E-3</v>
      </c>
      <c r="U15">
        <v>5.6666666666666696</v>
      </c>
      <c r="V15">
        <v>9</v>
      </c>
      <c r="Y15">
        <v>3.1</v>
      </c>
    </row>
    <row r="16" spans="1:25" x14ac:dyDescent="0.2">
      <c r="A16" t="s">
        <v>544</v>
      </c>
      <c r="B16" t="s">
        <v>531</v>
      </c>
      <c r="C16" t="s">
        <v>44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74</v>
      </c>
      <c r="N16">
        <v>39</v>
      </c>
      <c r="O16">
        <v>424</v>
      </c>
      <c r="P16">
        <v>4</v>
      </c>
      <c r="Q16">
        <v>0</v>
      </c>
      <c r="R16">
        <v>0</v>
      </c>
      <c r="S16">
        <v>105.4</v>
      </c>
      <c r="T16">
        <v>0.13703703703703701</v>
      </c>
      <c r="V16">
        <v>10.871794871794901</v>
      </c>
      <c r="Y16">
        <v>85.9</v>
      </c>
    </row>
    <row r="17" spans="1:25" x14ac:dyDescent="0.2">
      <c r="A17" t="s">
        <v>545</v>
      </c>
      <c r="B17" t="s">
        <v>531</v>
      </c>
      <c r="C17" t="s">
        <v>44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74</v>
      </c>
      <c r="N17">
        <v>43</v>
      </c>
      <c r="O17">
        <v>555</v>
      </c>
      <c r="P17">
        <v>3</v>
      </c>
      <c r="Q17">
        <v>0</v>
      </c>
      <c r="R17">
        <v>0</v>
      </c>
      <c r="S17">
        <v>114.5</v>
      </c>
      <c r="T17">
        <v>0.13703703703703701</v>
      </c>
      <c r="V17">
        <v>12.906976744186</v>
      </c>
      <c r="Y17">
        <v>95</v>
      </c>
    </row>
    <row r="18" spans="1:25" x14ac:dyDescent="0.2">
      <c r="A18" t="s">
        <v>546</v>
      </c>
      <c r="B18" t="s">
        <v>531</v>
      </c>
      <c r="C18" t="s">
        <v>44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4</v>
      </c>
      <c r="N18">
        <v>3</v>
      </c>
      <c r="O18">
        <v>24</v>
      </c>
      <c r="P18">
        <v>0</v>
      </c>
      <c r="Q18">
        <v>0</v>
      </c>
      <c r="R18">
        <v>0</v>
      </c>
      <c r="S18">
        <v>5.4</v>
      </c>
      <c r="T18">
        <v>7.4074074074074103E-3</v>
      </c>
      <c r="V18">
        <v>8</v>
      </c>
      <c r="Y18">
        <v>3.9</v>
      </c>
    </row>
    <row r="19" spans="1:25" x14ac:dyDescent="0.2">
      <c r="A19" t="s">
        <v>547</v>
      </c>
      <c r="B19" t="s">
        <v>531</v>
      </c>
      <c r="C19" t="s">
        <v>44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10</v>
      </c>
      <c r="N19">
        <v>7</v>
      </c>
      <c r="O19">
        <v>121</v>
      </c>
      <c r="P19">
        <v>0</v>
      </c>
      <c r="Q19">
        <v>0</v>
      </c>
      <c r="R19">
        <v>0</v>
      </c>
      <c r="S19">
        <v>19.100000000000001</v>
      </c>
      <c r="T19">
        <v>1.85185185185185E-2</v>
      </c>
      <c r="V19">
        <v>17.285714285714299</v>
      </c>
      <c r="Y19">
        <v>15.6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531</v>
      </c>
      <c r="B31">
        <v>6209</v>
      </c>
      <c r="C31">
        <v>3911</v>
      </c>
      <c r="D31">
        <v>530</v>
      </c>
      <c r="E31">
        <v>2298</v>
      </c>
      <c r="F31">
        <v>24</v>
      </c>
      <c r="G31">
        <v>1514.34</v>
      </c>
      <c r="H31">
        <v>556</v>
      </c>
      <c r="I31">
        <v>0.638489208633094</v>
      </c>
      <c r="J31">
        <v>28</v>
      </c>
      <c r="K31">
        <v>18</v>
      </c>
      <c r="L31">
        <v>1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548</v>
      </c>
      <c r="B36" t="s">
        <v>27</v>
      </c>
      <c r="C36">
        <v>28</v>
      </c>
      <c r="D36">
        <v>5</v>
      </c>
      <c r="E36" t="s">
        <v>345</v>
      </c>
      <c r="F36" t="s">
        <v>531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549</v>
      </c>
      <c r="B37" t="s">
        <v>27</v>
      </c>
      <c r="C37">
        <v>29</v>
      </c>
      <c r="D37">
        <v>8</v>
      </c>
      <c r="E37" t="s">
        <v>550</v>
      </c>
      <c r="F37" t="s">
        <v>531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551</v>
      </c>
      <c r="B38" t="s">
        <v>27</v>
      </c>
      <c r="C38">
        <v>29</v>
      </c>
      <c r="D38">
        <v>6</v>
      </c>
      <c r="E38" t="s">
        <v>309</v>
      </c>
      <c r="F38" t="s">
        <v>531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552</v>
      </c>
      <c r="B39" t="s">
        <v>32</v>
      </c>
      <c r="C39">
        <v>24</v>
      </c>
      <c r="D39">
        <v>2</v>
      </c>
      <c r="E39" t="s">
        <v>176</v>
      </c>
      <c r="F39" t="s">
        <v>531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553</v>
      </c>
      <c r="B40" t="s">
        <v>32</v>
      </c>
      <c r="C40">
        <v>25</v>
      </c>
      <c r="D40">
        <v>4</v>
      </c>
      <c r="E40" t="s">
        <v>342</v>
      </c>
      <c r="F40" t="s">
        <v>531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554</v>
      </c>
      <c r="B41" t="s">
        <v>32</v>
      </c>
      <c r="C41">
        <v>25</v>
      </c>
      <c r="D41">
        <v>6</v>
      </c>
      <c r="E41" t="s">
        <v>79</v>
      </c>
      <c r="F41" t="s">
        <v>531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555</v>
      </c>
      <c r="B42" t="s">
        <v>32</v>
      </c>
      <c r="C42">
        <v>23</v>
      </c>
      <c r="D42">
        <v>0</v>
      </c>
      <c r="E42" t="s">
        <v>556</v>
      </c>
      <c r="F42" t="s">
        <v>531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557</v>
      </c>
      <c r="B43" t="s">
        <v>32</v>
      </c>
      <c r="C43">
        <v>26</v>
      </c>
      <c r="D43">
        <v>5</v>
      </c>
      <c r="E43" t="s">
        <v>558</v>
      </c>
      <c r="F43" t="s">
        <v>531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559</v>
      </c>
      <c r="B44" t="s">
        <v>32</v>
      </c>
      <c r="C44">
        <v>21</v>
      </c>
      <c r="D44">
        <v>0</v>
      </c>
      <c r="E44" t="s">
        <v>560</v>
      </c>
      <c r="F44" t="s">
        <v>531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561</v>
      </c>
      <c r="B45" t="s">
        <v>44</v>
      </c>
      <c r="C45">
        <v>23</v>
      </c>
      <c r="D45">
        <v>0</v>
      </c>
      <c r="E45" t="s">
        <v>392</v>
      </c>
      <c r="F45" t="s">
        <v>531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562</v>
      </c>
      <c r="B46" t="s">
        <v>44</v>
      </c>
      <c r="C46">
        <v>23</v>
      </c>
      <c r="D46">
        <v>0</v>
      </c>
      <c r="E46" t="s">
        <v>342</v>
      </c>
      <c r="F46" t="s">
        <v>531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563</v>
      </c>
      <c r="B47" t="s">
        <v>44</v>
      </c>
      <c r="C47">
        <v>29</v>
      </c>
      <c r="D47">
        <v>10</v>
      </c>
      <c r="E47" t="s">
        <v>108</v>
      </c>
      <c r="F47" t="s">
        <v>531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564</v>
      </c>
      <c r="B48" t="s">
        <v>44</v>
      </c>
      <c r="C48">
        <v>25</v>
      </c>
      <c r="D48">
        <v>1</v>
      </c>
      <c r="E48" t="s">
        <v>239</v>
      </c>
      <c r="F48" t="s">
        <v>531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565</v>
      </c>
      <c r="B49" t="s">
        <v>44</v>
      </c>
      <c r="C49">
        <v>24</v>
      </c>
      <c r="D49">
        <v>0</v>
      </c>
      <c r="E49" t="s">
        <v>566</v>
      </c>
      <c r="F49" t="s">
        <v>531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567</v>
      </c>
      <c r="B50" t="s">
        <v>44</v>
      </c>
      <c r="C50">
        <v>25</v>
      </c>
      <c r="D50">
        <v>3</v>
      </c>
      <c r="E50" t="s">
        <v>97</v>
      </c>
      <c r="F50" t="s">
        <v>531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568</v>
      </c>
      <c r="B51" t="s">
        <v>44</v>
      </c>
      <c r="C51">
        <v>27</v>
      </c>
      <c r="D51">
        <v>6</v>
      </c>
      <c r="E51" t="s">
        <v>102</v>
      </c>
      <c r="F51" t="s">
        <v>531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569</v>
      </c>
      <c r="B52" t="s">
        <v>44</v>
      </c>
      <c r="C52">
        <v>24</v>
      </c>
      <c r="D52">
        <v>1</v>
      </c>
      <c r="E52" t="s">
        <v>570</v>
      </c>
      <c r="F52" t="s">
        <v>531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571</v>
      </c>
      <c r="B53" t="s">
        <v>44</v>
      </c>
      <c r="C53">
        <v>27</v>
      </c>
      <c r="D53">
        <v>4</v>
      </c>
      <c r="E53" t="s">
        <v>213</v>
      </c>
      <c r="F53" t="s">
        <v>531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572</v>
      </c>
      <c r="B54" t="s">
        <v>44</v>
      </c>
      <c r="C54">
        <v>24</v>
      </c>
      <c r="D54">
        <v>4</v>
      </c>
      <c r="E54" t="s">
        <v>69</v>
      </c>
      <c r="F54" t="s">
        <v>531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573</v>
      </c>
      <c r="B55" t="s">
        <v>44</v>
      </c>
      <c r="C55">
        <v>22</v>
      </c>
      <c r="D55">
        <v>0</v>
      </c>
      <c r="E55" t="s">
        <v>279</v>
      </c>
      <c r="F55" t="s">
        <v>531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574</v>
      </c>
      <c r="B56" t="s">
        <v>44</v>
      </c>
      <c r="C56">
        <v>23</v>
      </c>
      <c r="D56">
        <v>0</v>
      </c>
      <c r="E56" t="s">
        <v>575</v>
      </c>
      <c r="F56" t="s">
        <v>531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576</v>
      </c>
      <c r="B57" t="s">
        <v>44</v>
      </c>
      <c r="C57">
        <v>24</v>
      </c>
      <c r="D57">
        <v>2</v>
      </c>
      <c r="E57" t="s">
        <v>300</v>
      </c>
      <c r="F57" t="s">
        <v>531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577</v>
      </c>
      <c r="B58" t="s">
        <v>44</v>
      </c>
      <c r="C58">
        <v>26</v>
      </c>
      <c r="D58">
        <v>2</v>
      </c>
      <c r="E58" t="s">
        <v>77</v>
      </c>
      <c r="F58" t="s">
        <v>531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578</v>
      </c>
      <c r="B59" t="s">
        <v>39</v>
      </c>
      <c r="C59">
        <v>24</v>
      </c>
      <c r="D59">
        <v>0</v>
      </c>
      <c r="E59" t="s">
        <v>141</v>
      </c>
      <c r="F59" t="s">
        <v>531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579</v>
      </c>
      <c r="B60" t="s">
        <v>39</v>
      </c>
      <c r="C60">
        <v>24</v>
      </c>
      <c r="D60">
        <v>2</v>
      </c>
      <c r="E60" t="s">
        <v>73</v>
      </c>
      <c r="F60" t="s">
        <v>531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580</v>
      </c>
      <c r="B61" t="s">
        <v>39</v>
      </c>
      <c r="C61">
        <v>25</v>
      </c>
      <c r="D61">
        <v>1</v>
      </c>
      <c r="E61" t="s">
        <v>71</v>
      </c>
      <c r="F61" t="s">
        <v>531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581</v>
      </c>
      <c r="B62" t="s">
        <v>39</v>
      </c>
      <c r="C62">
        <v>24</v>
      </c>
      <c r="D62">
        <v>2</v>
      </c>
      <c r="E62" t="s">
        <v>361</v>
      </c>
      <c r="F62" t="s">
        <v>531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582</v>
      </c>
      <c r="B63" t="s">
        <v>39</v>
      </c>
      <c r="C63">
        <v>25</v>
      </c>
      <c r="D63">
        <v>4</v>
      </c>
      <c r="E63" t="s">
        <v>100</v>
      </c>
      <c r="F63" t="s">
        <v>531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">
      <c r="A64" t="s">
        <v>583</v>
      </c>
      <c r="B64" t="s">
        <v>39</v>
      </c>
      <c r="C64">
        <v>24</v>
      </c>
      <c r="D64">
        <v>0</v>
      </c>
      <c r="E64" t="s">
        <v>100</v>
      </c>
      <c r="F64" t="s">
        <v>531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584</v>
      </c>
      <c r="B2" t="s">
        <v>585</v>
      </c>
      <c r="C2" t="s">
        <v>27</v>
      </c>
      <c r="D2">
        <v>4</v>
      </c>
      <c r="E2">
        <v>88</v>
      </c>
      <c r="F2">
        <v>53</v>
      </c>
      <c r="G2">
        <v>483</v>
      </c>
      <c r="H2">
        <v>2</v>
      </c>
      <c r="I2">
        <v>4</v>
      </c>
      <c r="J2">
        <v>6</v>
      </c>
      <c r="K2">
        <v>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18.02</v>
      </c>
      <c r="T2">
        <v>0</v>
      </c>
      <c r="U2">
        <v>1.1666666666666701</v>
      </c>
      <c r="W2">
        <v>0.60227272727272696</v>
      </c>
      <c r="X2">
        <v>2.27272727272727E-2</v>
      </c>
      <c r="Y2">
        <v>22.02</v>
      </c>
    </row>
    <row r="3" spans="1:25" x14ac:dyDescent="0.2">
      <c r="A3" t="s">
        <v>586</v>
      </c>
      <c r="B3" t="s">
        <v>585</v>
      </c>
      <c r="C3" t="s">
        <v>27</v>
      </c>
      <c r="D3">
        <v>15</v>
      </c>
      <c r="E3">
        <v>483</v>
      </c>
      <c r="F3">
        <v>292</v>
      </c>
      <c r="G3">
        <v>3524</v>
      </c>
      <c r="H3">
        <v>16</v>
      </c>
      <c r="I3">
        <v>11</v>
      </c>
      <c r="J3">
        <v>55</v>
      </c>
      <c r="K3">
        <v>277</v>
      </c>
      <c r="L3">
        <v>3</v>
      </c>
      <c r="M3">
        <v>1</v>
      </c>
      <c r="N3">
        <v>1</v>
      </c>
      <c r="O3">
        <v>1</v>
      </c>
      <c r="P3">
        <v>0</v>
      </c>
      <c r="Q3">
        <v>2</v>
      </c>
      <c r="R3">
        <v>0</v>
      </c>
      <c r="S3">
        <v>225.76</v>
      </c>
      <c r="T3">
        <v>1.79856115107914E-3</v>
      </c>
      <c r="U3">
        <v>5.0363636363636397</v>
      </c>
      <c r="V3">
        <v>1</v>
      </c>
      <c r="W3">
        <v>0.60455486542443104</v>
      </c>
      <c r="X3">
        <v>3.3126293995859202E-2</v>
      </c>
      <c r="Y3">
        <v>235.66</v>
      </c>
    </row>
    <row r="4" spans="1:25" x14ac:dyDescent="0.2">
      <c r="A4" t="s">
        <v>587</v>
      </c>
      <c r="B4" t="s">
        <v>585</v>
      </c>
      <c r="C4" t="s">
        <v>32</v>
      </c>
      <c r="D4">
        <v>5</v>
      </c>
      <c r="E4">
        <v>0</v>
      </c>
      <c r="F4">
        <v>0</v>
      </c>
      <c r="G4">
        <v>0</v>
      </c>
      <c r="H4">
        <v>0</v>
      </c>
      <c r="I4">
        <v>0</v>
      </c>
      <c r="J4">
        <v>26</v>
      </c>
      <c r="K4">
        <v>125</v>
      </c>
      <c r="L4">
        <v>0</v>
      </c>
      <c r="M4">
        <v>7</v>
      </c>
      <c r="N4">
        <v>6</v>
      </c>
      <c r="O4">
        <v>61</v>
      </c>
      <c r="P4">
        <v>0</v>
      </c>
      <c r="Q4">
        <v>0</v>
      </c>
      <c r="R4">
        <v>0</v>
      </c>
      <c r="S4">
        <v>24.6</v>
      </c>
      <c r="T4">
        <v>1.2589928057554E-2</v>
      </c>
      <c r="U4">
        <v>4.8076923076923102</v>
      </c>
      <c r="V4">
        <v>10.1666666666667</v>
      </c>
      <c r="Y4">
        <v>21.6</v>
      </c>
    </row>
    <row r="5" spans="1:25" x14ac:dyDescent="0.2">
      <c r="A5" t="s">
        <v>588</v>
      </c>
      <c r="B5" t="s">
        <v>585</v>
      </c>
      <c r="C5" t="s">
        <v>32</v>
      </c>
      <c r="D5">
        <v>3</v>
      </c>
      <c r="E5">
        <v>0</v>
      </c>
      <c r="F5">
        <v>0</v>
      </c>
      <c r="G5">
        <v>0</v>
      </c>
      <c r="H5">
        <v>0</v>
      </c>
      <c r="I5">
        <v>0</v>
      </c>
      <c r="J5">
        <v>3</v>
      </c>
      <c r="K5">
        <v>4</v>
      </c>
      <c r="L5">
        <v>0</v>
      </c>
      <c r="M5">
        <v>1</v>
      </c>
      <c r="N5">
        <v>1</v>
      </c>
      <c r="O5">
        <v>3</v>
      </c>
      <c r="P5">
        <v>0</v>
      </c>
      <c r="Q5">
        <v>0</v>
      </c>
      <c r="R5">
        <v>0</v>
      </c>
      <c r="S5">
        <v>1.7</v>
      </c>
      <c r="T5">
        <v>1.79856115107914E-3</v>
      </c>
      <c r="U5">
        <v>1.3333333333333299</v>
      </c>
      <c r="V5">
        <v>3</v>
      </c>
      <c r="Y5">
        <v>1.2</v>
      </c>
    </row>
    <row r="6" spans="1:25" x14ac:dyDescent="0.2">
      <c r="A6" t="s">
        <v>589</v>
      </c>
      <c r="B6" t="s">
        <v>585</v>
      </c>
      <c r="C6" t="s">
        <v>32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47</v>
      </c>
      <c r="K6">
        <v>204</v>
      </c>
      <c r="L6">
        <v>0</v>
      </c>
      <c r="M6">
        <v>22</v>
      </c>
      <c r="N6">
        <v>16</v>
      </c>
      <c r="O6">
        <v>76</v>
      </c>
      <c r="P6">
        <v>0</v>
      </c>
      <c r="Q6">
        <v>1</v>
      </c>
      <c r="R6">
        <v>0</v>
      </c>
      <c r="S6">
        <v>42</v>
      </c>
      <c r="T6">
        <v>3.9568345323740997E-2</v>
      </c>
      <c r="U6">
        <v>4.3404255319148897</v>
      </c>
      <c r="V6">
        <v>4.75</v>
      </c>
      <c r="Y6">
        <v>34</v>
      </c>
    </row>
    <row r="7" spans="1:25" x14ac:dyDescent="0.2">
      <c r="A7" t="s">
        <v>590</v>
      </c>
      <c r="B7" t="s">
        <v>585</v>
      </c>
      <c r="C7" t="s">
        <v>32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160</v>
      </c>
      <c r="K7">
        <v>703</v>
      </c>
      <c r="L7">
        <v>5</v>
      </c>
      <c r="M7">
        <v>34</v>
      </c>
      <c r="N7">
        <v>26</v>
      </c>
      <c r="O7">
        <v>124</v>
      </c>
      <c r="P7">
        <v>0</v>
      </c>
      <c r="Q7">
        <v>0</v>
      </c>
      <c r="R7">
        <v>1</v>
      </c>
      <c r="S7">
        <v>140.69999999999999</v>
      </c>
      <c r="T7">
        <v>6.11510791366906E-2</v>
      </c>
      <c r="U7">
        <v>4.3937499999999998</v>
      </c>
      <c r="V7">
        <v>4.7692307692307701</v>
      </c>
      <c r="Y7">
        <v>127.7</v>
      </c>
    </row>
    <row r="8" spans="1:25" x14ac:dyDescent="0.2">
      <c r="A8" t="s">
        <v>591</v>
      </c>
      <c r="B8" t="s">
        <v>585</v>
      </c>
      <c r="C8" t="s">
        <v>32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24</v>
      </c>
      <c r="K8">
        <v>102</v>
      </c>
      <c r="L8">
        <v>0</v>
      </c>
      <c r="M8">
        <v>15</v>
      </c>
      <c r="N8">
        <v>9</v>
      </c>
      <c r="O8">
        <v>96</v>
      </c>
      <c r="P8">
        <v>0</v>
      </c>
      <c r="Q8">
        <v>0</v>
      </c>
      <c r="R8">
        <v>0</v>
      </c>
      <c r="S8">
        <v>28.8</v>
      </c>
      <c r="T8">
        <v>2.6978417266187001E-2</v>
      </c>
      <c r="U8">
        <v>4.25</v>
      </c>
      <c r="V8">
        <v>10.6666666666667</v>
      </c>
      <c r="Y8">
        <v>24.3</v>
      </c>
    </row>
    <row r="9" spans="1:25" x14ac:dyDescent="0.2">
      <c r="A9" t="s">
        <v>592</v>
      </c>
      <c r="B9" t="s">
        <v>585</v>
      </c>
      <c r="C9" t="s">
        <v>32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90</v>
      </c>
      <c r="K9">
        <v>318</v>
      </c>
      <c r="L9">
        <v>2</v>
      </c>
      <c r="M9">
        <v>32</v>
      </c>
      <c r="N9">
        <v>25</v>
      </c>
      <c r="O9">
        <v>223</v>
      </c>
      <c r="P9">
        <v>0</v>
      </c>
      <c r="Q9">
        <v>2</v>
      </c>
      <c r="R9">
        <v>0</v>
      </c>
      <c r="S9">
        <v>87.1</v>
      </c>
      <c r="T9">
        <v>5.7553956834532398E-2</v>
      </c>
      <c r="U9">
        <v>3.5333333333333301</v>
      </c>
      <c r="V9">
        <v>8.92</v>
      </c>
      <c r="Y9">
        <v>74.599999999999994</v>
      </c>
    </row>
    <row r="10" spans="1:25" x14ac:dyDescent="0.2">
      <c r="A10" t="s">
        <v>593</v>
      </c>
      <c r="B10" t="s">
        <v>585</v>
      </c>
      <c r="C10" t="s">
        <v>32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16</v>
      </c>
      <c r="K10">
        <v>84</v>
      </c>
      <c r="L10">
        <v>1</v>
      </c>
      <c r="M10">
        <v>10</v>
      </c>
      <c r="N10">
        <v>8</v>
      </c>
      <c r="O10">
        <v>99</v>
      </c>
      <c r="P10">
        <v>1</v>
      </c>
      <c r="Q10">
        <v>0</v>
      </c>
      <c r="R10">
        <v>0</v>
      </c>
      <c r="S10">
        <v>38.299999999999997</v>
      </c>
      <c r="T10">
        <v>1.7985611510791401E-2</v>
      </c>
      <c r="U10">
        <v>5.25</v>
      </c>
      <c r="V10">
        <v>12.375</v>
      </c>
      <c r="Y10">
        <v>34.299999999999997</v>
      </c>
    </row>
    <row r="11" spans="1:25" x14ac:dyDescent="0.2">
      <c r="A11" t="s">
        <v>594</v>
      </c>
      <c r="B11" t="s">
        <v>585</v>
      </c>
      <c r="C11" t="s">
        <v>32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1</v>
      </c>
      <c r="N11">
        <v>1</v>
      </c>
      <c r="O11">
        <v>24</v>
      </c>
      <c r="P11">
        <v>1</v>
      </c>
      <c r="Q11">
        <v>0</v>
      </c>
      <c r="R11">
        <v>0</v>
      </c>
      <c r="S11">
        <v>9.4</v>
      </c>
      <c r="T11">
        <v>1.79856115107914E-3</v>
      </c>
      <c r="U11">
        <v>0</v>
      </c>
      <c r="V11">
        <v>24</v>
      </c>
      <c r="Y11">
        <v>8.9</v>
      </c>
    </row>
    <row r="12" spans="1:25" x14ac:dyDescent="0.2">
      <c r="A12" t="s">
        <v>595</v>
      </c>
      <c r="B12" t="s">
        <v>585</v>
      </c>
      <c r="C12" t="s">
        <v>39</v>
      </c>
      <c r="D12">
        <v>8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11</v>
      </c>
      <c r="N12">
        <v>5</v>
      </c>
      <c r="O12">
        <v>69</v>
      </c>
      <c r="P12">
        <v>0</v>
      </c>
      <c r="Q12">
        <v>0</v>
      </c>
      <c r="R12">
        <v>0</v>
      </c>
      <c r="S12">
        <v>11.9</v>
      </c>
      <c r="T12">
        <v>1.9784172661870499E-2</v>
      </c>
      <c r="U12">
        <v>0</v>
      </c>
      <c r="V12">
        <v>13.8</v>
      </c>
      <c r="Y12">
        <v>9.4</v>
      </c>
    </row>
    <row r="13" spans="1:25" x14ac:dyDescent="0.2">
      <c r="A13" t="s">
        <v>596</v>
      </c>
      <c r="B13" t="s">
        <v>585</v>
      </c>
      <c r="C13" t="s">
        <v>39</v>
      </c>
      <c r="D13">
        <v>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18</v>
      </c>
      <c r="N13">
        <v>10</v>
      </c>
      <c r="O13">
        <v>95</v>
      </c>
      <c r="P13">
        <v>1</v>
      </c>
      <c r="Q13">
        <v>0</v>
      </c>
      <c r="R13">
        <v>0</v>
      </c>
      <c r="S13">
        <v>25.5</v>
      </c>
      <c r="T13">
        <v>3.2374100719424502E-2</v>
      </c>
      <c r="V13">
        <v>9.5</v>
      </c>
      <c r="Y13">
        <v>20.5</v>
      </c>
    </row>
    <row r="14" spans="1:25" x14ac:dyDescent="0.2">
      <c r="A14" t="s">
        <v>597</v>
      </c>
      <c r="B14" t="s">
        <v>585</v>
      </c>
      <c r="C14" t="s">
        <v>39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24</v>
      </c>
      <c r="N14">
        <v>15</v>
      </c>
      <c r="O14">
        <v>148</v>
      </c>
      <c r="P14">
        <v>1</v>
      </c>
      <c r="Q14">
        <v>0</v>
      </c>
      <c r="R14">
        <v>0</v>
      </c>
      <c r="S14">
        <v>35.799999999999997</v>
      </c>
      <c r="T14">
        <v>4.3165467625899297E-2</v>
      </c>
      <c r="V14">
        <v>9.8666666666666707</v>
      </c>
      <c r="Y14">
        <v>28.3</v>
      </c>
    </row>
    <row r="15" spans="1:25" x14ac:dyDescent="0.2">
      <c r="A15" t="s">
        <v>598</v>
      </c>
      <c r="B15" t="s">
        <v>585</v>
      </c>
      <c r="C15" t="s">
        <v>39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79</v>
      </c>
      <c r="P15">
        <v>2</v>
      </c>
      <c r="Q15">
        <v>0</v>
      </c>
      <c r="R15">
        <v>0</v>
      </c>
      <c r="S15">
        <v>28.9</v>
      </c>
      <c r="T15">
        <v>2.3381294964028802E-2</v>
      </c>
      <c r="V15">
        <v>8.7777777777777803</v>
      </c>
      <c r="Y15">
        <v>24.4</v>
      </c>
    </row>
    <row r="16" spans="1:25" x14ac:dyDescent="0.2">
      <c r="A16" t="s">
        <v>599</v>
      </c>
      <c r="B16" t="s">
        <v>585</v>
      </c>
      <c r="C16" t="s">
        <v>39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55</v>
      </c>
      <c r="N16">
        <v>33</v>
      </c>
      <c r="O16">
        <v>411</v>
      </c>
      <c r="P16">
        <v>2</v>
      </c>
      <c r="Q16">
        <v>0</v>
      </c>
      <c r="R16">
        <v>0</v>
      </c>
      <c r="S16">
        <v>86.1</v>
      </c>
      <c r="T16">
        <v>9.89208633093525E-2</v>
      </c>
      <c r="V16">
        <v>12.454545454545499</v>
      </c>
      <c r="Y16">
        <v>69.599999999999994</v>
      </c>
    </row>
    <row r="17" spans="1:25" x14ac:dyDescent="0.2">
      <c r="A17" t="s">
        <v>600</v>
      </c>
      <c r="B17" t="s">
        <v>585</v>
      </c>
      <c r="C17" t="s">
        <v>44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6</v>
      </c>
      <c r="O17">
        <v>42</v>
      </c>
      <c r="P17">
        <v>1</v>
      </c>
      <c r="Q17">
        <v>0</v>
      </c>
      <c r="R17">
        <v>0</v>
      </c>
      <c r="S17">
        <v>16.2</v>
      </c>
      <c r="T17">
        <v>2.5179856115107899E-2</v>
      </c>
      <c r="V17">
        <v>7</v>
      </c>
      <c r="Y17">
        <v>13.2</v>
      </c>
    </row>
    <row r="18" spans="1:25" x14ac:dyDescent="0.2">
      <c r="A18" t="s">
        <v>601</v>
      </c>
      <c r="B18" t="s">
        <v>585</v>
      </c>
      <c r="C18" t="s">
        <v>44</v>
      </c>
      <c r="D18">
        <v>15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5</v>
      </c>
      <c r="L18">
        <v>0</v>
      </c>
      <c r="M18">
        <v>109</v>
      </c>
      <c r="N18">
        <v>64</v>
      </c>
      <c r="O18">
        <v>829</v>
      </c>
      <c r="P18">
        <v>2</v>
      </c>
      <c r="Q18">
        <v>0</v>
      </c>
      <c r="R18">
        <v>0</v>
      </c>
      <c r="S18">
        <v>159.4</v>
      </c>
      <c r="T18">
        <v>0.19604316546762601</v>
      </c>
      <c r="U18">
        <v>5</v>
      </c>
      <c r="V18">
        <v>12.953125</v>
      </c>
      <c r="Y18">
        <v>127.4</v>
      </c>
    </row>
    <row r="19" spans="1:25" x14ac:dyDescent="0.2">
      <c r="A19" t="s">
        <v>602</v>
      </c>
      <c r="B19" t="s">
        <v>585</v>
      </c>
      <c r="C19" t="s">
        <v>44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</v>
      </c>
      <c r="N19">
        <v>4</v>
      </c>
      <c r="O19">
        <v>74</v>
      </c>
      <c r="P19">
        <v>0</v>
      </c>
      <c r="Q19">
        <v>0</v>
      </c>
      <c r="R19">
        <v>0</v>
      </c>
      <c r="S19">
        <v>11.4</v>
      </c>
      <c r="T19">
        <v>1.07913669064748E-2</v>
      </c>
      <c r="V19">
        <v>18.5</v>
      </c>
      <c r="Y19">
        <v>9.4</v>
      </c>
    </row>
    <row r="20" spans="1:25" x14ac:dyDescent="0.2">
      <c r="A20" t="s">
        <v>603</v>
      </c>
      <c r="B20" t="s">
        <v>585</v>
      </c>
      <c r="C20" t="s">
        <v>44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4</v>
      </c>
      <c r="K20">
        <v>40</v>
      </c>
      <c r="L20">
        <v>0</v>
      </c>
      <c r="M20">
        <v>100</v>
      </c>
      <c r="N20">
        <v>67</v>
      </c>
      <c r="O20">
        <v>972</v>
      </c>
      <c r="P20">
        <v>6</v>
      </c>
      <c r="Q20">
        <v>0</v>
      </c>
      <c r="R20">
        <v>0</v>
      </c>
      <c r="S20">
        <v>204.2</v>
      </c>
      <c r="T20">
        <v>0.17985611510791399</v>
      </c>
      <c r="U20">
        <v>10</v>
      </c>
      <c r="V20">
        <v>14.5074626865672</v>
      </c>
      <c r="Y20">
        <v>170.7</v>
      </c>
    </row>
    <row r="21" spans="1:25" x14ac:dyDescent="0.2">
      <c r="A21" t="s">
        <v>604</v>
      </c>
      <c r="B21" t="s">
        <v>585</v>
      </c>
      <c r="C21" t="s">
        <v>44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75</v>
      </c>
      <c r="P21">
        <v>1</v>
      </c>
      <c r="Q21">
        <v>0</v>
      </c>
      <c r="R21">
        <v>0</v>
      </c>
      <c r="S21">
        <v>15.5</v>
      </c>
      <c r="T21">
        <v>8.9928057553956796E-3</v>
      </c>
      <c r="V21">
        <v>37.5</v>
      </c>
      <c r="Y21">
        <v>14.5</v>
      </c>
    </row>
    <row r="22" spans="1:25" x14ac:dyDescent="0.2">
      <c r="A22" t="s">
        <v>605</v>
      </c>
      <c r="B22" t="s">
        <v>585</v>
      </c>
      <c r="C22" t="s">
        <v>44</v>
      </c>
      <c r="D22">
        <v>6</v>
      </c>
      <c r="E22">
        <v>0</v>
      </c>
      <c r="F22">
        <v>0</v>
      </c>
      <c r="G22">
        <v>0</v>
      </c>
      <c r="H22">
        <v>0</v>
      </c>
      <c r="I22">
        <v>0</v>
      </c>
      <c r="J22">
        <v>2</v>
      </c>
      <c r="K22">
        <v>23</v>
      </c>
      <c r="L22">
        <v>0</v>
      </c>
      <c r="M22">
        <v>14</v>
      </c>
      <c r="N22">
        <v>7</v>
      </c>
      <c r="O22">
        <v>165</v>
      </c>
      <c r="P22">
        <v>0</v>
      </c>
      <c r="Q22">
        <v>0</v>
      </c>
      <c r="R22">
        <v>0</v>
      </c>
      <c r="S22">
        <v>25.8</v>
      </c>
      <c r="T22">
        <v>2.5179856115107899E-2</v>
      </c>
      <c r="U22">
        <v>11.5</v>
      </c>
      <c r="V22">
        <v>23.571428571428601</v>
      </c>
      <c r="Y22">
        <v>22.3</v>
      </c>
    </row>
    <row r="23" spans="1:25" x14ac:dyDescent="0.2">
      <c r="A23" t="s">
        <v>606</v>
      </c>
      <c r="B23" t="s">
        <v>585</v>
      </c>
      <c r="C23" t="s">
        <v>44</v>
      </c>
      <c r="D23">
        <v>11</v>
      </c>
      <c r="E23">
        <v>0</v>
      </c>
      <c r="F23">
        <v>0</v>
      </c>
      <c r="G23">
        <v>0</v>
      </c>
      <c r="H23">
        <v>0</v>
      </c>
      <c r="I23">
        <v>0</v>
      </c>
      <c r="J23">
        <v>2</v>
      </c>
      <c r="K23">
        <v>13</v>
      </c>
      <c r="L23">
        <v>0</v>
      </c>
      <c r="M23">
        <v>33</v>
      </c>
      <c r="N23">
        <v>24</v>
      </c>
      <c r="O23">
        <v>311</v>
      </c>
      <c r="P23">
        <v>0</v>
      </c>
      <c r="Q23">
        <v>0</v>
      </c>
      <c r="R23">
        <v>0</v>
      </c>
      <c r="S23">
        <v>56.4</v>
      </c>
      <c r="T23">
        <v>5.9352517985611503E-2</v>
      </c>
      <c r="U23">
        <v>6.5</v>
      </c>
      <c r="V23">
        <v>12.9583333333333</v>
      </c>
      <c r="Y23">
        <v>44.4</v>
      </c>
    </row>
    <row r="24" spans="1:25" x14ac:dyDescent="0.2">
      <c r="A24" t="s">
        <v>607</v>
      </c>
      <c r="B24" t="s">
        <v>585</v>
      </c>
      <c r="C24" t="s">
        <v>44</v>
      </c>
      <c r="D24">
        <v>9</v>
      </c>
      <c r="E24">
        <v>0</v>
      </c>
      <c r="F24">
        <v>0</v>
      </c>
      <c r="G24">
        <v>0</v>
      </c>
      <c r="H24">
        <v>0</v>
      </c>
      <c r="I24">
        <v>0</v>
      </c>
      <c r="J24">
        <v>5</v>
      </c>
      <c r="K24">
        <v>30</v>
      </c>
      <c r="L24">
        <v>0</v>
      </c>
      <c r="M24">
        <v>9</v>
      </c>
      <c r="N24">
        <v>4</v>
      </c>
      <c r="O24">
        <v>2</v>
      </c>
      <c r="P24">
        <v>0</v>
      </c>
      <c r="Q24">
        <v>0</v>
      </c>
      <c r="R24">
        <v>0</v>
      </c>
      <c r="S24">
        <v>7.2</v>
      </c>
      <c r="T24">
        <v>1.6187050359712199E-2</v>
      </c>
      <c r="U24">
        <v>6</v>
      </c>
      <c r="V24">
        <v>0.5</v>
      </c>
      <c r="Y24">
        <v>5.2</v>
      </c>
    </row>
    <row r="25" spans="1:25" x14ac:dyDescent="0.2">
      <c r="A25" t="s">
        <v>608</v>
      </c>
      <c r="B25" t="s">
        <v>585</v>
      </c>
      <c r="C25" t="s">
        <v>44</v>
      </c>
      <c r="D25">
        <v>3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7</v>
      </c>
      <c r="N25">
        <v>2</v>
      </c>
      <c r="O25">
        <v>28</v>
      </c>
      <c r="P25">
        <v>0</v>
      </c>
      <c r="Q25">
        <v>0</v>
      </c>
      <c r="R25">
        <v>0</v>
      </c>
      <c r="S25">
        <v>4.8</v>
      </c>
      <c r="T25">
        <v>1.2589928057554E-2</v>
      </c>
      <c r="V25">
        <v>14</v>
      </c>
      <c r="Y25">
        <v>3.8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585</v>
      </c>
      <c r="B31">
        <v>5942</v>
      </c>
      <c r="C31">
        <v>4007</v>
      </c>
      <c r="D31">
        <v>444</v>
      </c>
      <c r="E31">
        <v>1935</v>
      </c>
      <c r="F31">
        <v>11</v>
      </c>
      <c r="G31">
        <v>1305.48</v>
      </c>
      <c r="H31">
        <v>571</v>
      </c>
      <c r="I31">
        <v>0.60420315236427302</v>
      </c>
      <c r="J31">
        <v>18</v>
      </c>
      <c r="K31">
        <v>15</v>
      </c>
      <c r="L31">
        <v>6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609</v>
      </c>
      <c r="B36" t="s">
        <v>27</v>
      </c>
      <c r="C36">
        <v>26</v>
      </c>
      <c r="D36">
        <v>2</v>
      </c>
      <c r="E36" t="s">
        <v>610</v>
      </c>
      <c r="F36" t="s">
        <v>585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611</v>
      </c>
      <c r="B37" t="s">
        <v>27</v>
      </c>
      <c r="C37">
        <v>25</v>
      </c>
      <c r="D37">
        <v>1</v>
      </c>
      <c r="E37" t="s">
        <v>291</v>
      </c>
      <c r="F37" t="s">
        <v>585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612</v>
      </c>
      <c r="B38" t="s">
        <v>27</v>
      </c>
      <c r="C38">
        <v>26</v>
      </c>
      <c r="D38">
        <v>4</v>
      </c>
      <c r="E38" t="s">
        <v>466</v>
      </c>
      <c r="F38" t="s">
        <v>585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613</v>
      </c>
      <c r="B39" t="s">
        <v>27</v>
      </c>
      <c r="C39">
        <v>34</v>
      </c>
      <c r="D39">
        <v>12</v>
      </c>
      <c r="E39" t="s">
        <v>73</v>
      </c>
      <c r="F39" t="s">
        <v>585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614</v>
      </c>
      <c r="B40" t="s">
        <v>32</v>
      </c>
      <c r="C40">
        <v>23</v>
      </c>
      <c r="D40">
        <v>1</v>
      </c>
      <c r="E40" t="s">
        <v>615</v>
      </c>
      <c r="F40" t="s">
        <v>585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616</v>
      </c>
      <c r="B41" t="s">
        <v>32</v>
      </c>
      <c r="C41">
        <v>25</v>
      </c>
      <c r="D41">
        <v>3</v>
      </c>
      <c r="E41" t="s">
        <v>363</v>
      </c>
      <c r="F41" t="s">
        <v>585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617</v>
      </c>
      <c r="B42" t="s">
        <v>32</v>
      </c>
      <c r="C42">
        <v>22</v>
      </c>
      <c r="D42">
        <v>0</v>
      </c>
      <c r="E42" t="s">
        <v>618</v>
      </c>
      <c r="F42" t="s">
        <v>585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619</v>
      </c>
      <c r="B43" t="s">
        <v>32</v>
      </c>
      <c r="C43">
        <v>27</v>
      </c>
      <c r="D43">
        <v>7</v>
      </c>
      <c r="E43" t="s">
        <v>69</v>
      </c>
      <c r="F43" t="s">
        <v>585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620</v>
      </c>
      <c r="B44" t="s">
        <v>32</v>
      </c>
      <c r="C44">
        <v>23</v>
      </c>
      <c r="D44">
        <v>3</v>
      </c>
      <c r="E44" t="s">
        <v>163</v>
      </c>
      <c r="F44" t="s">
        <v>585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621</v>
      </c>
      <c r="B45" t="s">
        <v>44</v>
      </c>
      <c r="C45">
        <v>25</v>
      </c>
      <c r="D45">
        <v>4</v>
      </c>
      <c r="E45" t="s">
        <v>141</v>
      </c>
      <c r="F45" t="s">
        <v>585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622</v>
      </c>
      <c r="B46" t="s">
        <v>44</v>
      </c>
      <c r="C46">
        <v>23</v>
      </c>
      <c r="D46">
        <v>0</v>
      </c>
      <c r="E46" t="s">
        <v>623</v>
      </c>
      <c r="F46" t="s">
        <v>585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624</v>
      </c>
      <c r="B47" t="s">
        <v>44</v>
      </c>
      <c r="C47">
        <v>24</v>
      </c>
      <c r="D47">
        <v>4</v>
      </c>
      <c r="E47" t="s">
        <v>340</v>
      </c>
      <c r="F47" t="s">
        <v>585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625</v>
      </c>
      <c r="B48" t="s">
        <v>44</v>
      </c>
      <c r="C48">
        <v>26</v>
      </c>
      <c r="D48">
        <v>3</v>
      </c>
      <c r="E48" t="s">
        <v>90</v>
      </c>
      <c r="F48" t="s">
        <v>585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626</v>
      </c>
      <c r="B49" t="s">
        <v>44</v>
      </c>
      <c r="C49">
        <v>25</v>
      </c>
      <c r="D49">
        <v>4</v>
      </c>
      <c r="E49" t="s">
        <v>67</v>
      </c>
      <c r="F49" t="s">
        <v>585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627</v>
      </c>
      <c r="B50" t="s">
        <v>44</v>
      </c>
      <c r="C50">
        <v>24</v>
      </c>
      <c r="D50">
        <v>4</v>
      </c>
      <c r="E50" t="s">
        <v>153</v>
      </c>
      <c r="F50" t="s">
        <v>585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628</v>
      </c>
      <c r="B51" t="s">
        <v>44</v>
      </c>
      <c r="C51">
        <v>24</v>
      </c>
      <c r="D51">
        <v>2</v>
      </c>
      <c r="E51" t="s">
        <v>281</v>
      </c>
      <c r="F51" t="s">
        <v>585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629</v>
      </c>
      <c r="B52" t="s">
        <v>44</v>
      </c>
      <c r="C52">
        <v>21</v>
      </c>
      <c r="D52">
        <v>0</v>
      </c>
      <c r="E52" t="s">
        <v>69</v>
      </c>
      <c r="F52" t="s">
        <v>585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630</v>
      </c>
      <c r="B53" t="s">
        <v>44</v>
      </c>
      <c r="C53">
        <v>29</v>
      </c>
      <c r="D53">
        <v>6</v>
      </c>
      <c r="E53" t="s">
        <v>203</v>
      </c>
      <c r="F53" t="s">
        <v>585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631</v>
      </c>
      <c r="B54" t="s">
        <v>44</v>
      </c>
      <c r="C54">
        <v>27</v>
      </c>
      <c r="D54">
        <v>6</v>
      </c>
      <c r="E54" t="s">
        <v>234</v>
      </c>
      <c r="F54" t="s">
        <v>585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632</v>
      </c>
      <c r="B55" t="s">
        <v>44</v>
      </c>
      <c r="C55">
        <v>25</v>
      </c>
      <c r="D55">
        <v>2</v>
      </c>
      <c r="E55" t="s">
        <v>338</v>
      </c>
      <c r="F55" t="s">
        <v>585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633</v>
      </c>
      <c r="B56" t="s">
        <v>44</v>
      </c>
      <c r="C56">
        <v>24</v>
      </c>
      <c r="D56">
        <v>2</v>
      </c>
      <c r="E56" t="s">
        <v>634</v>
      </c>
      <c r="F56" t="s">
        <v>585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635</v>
      </c>
      <c r="B57" t="s">
        <v>39</v>
      </c>
      <c r="C57">
        <v>24</v>
      </c>
      <c r="D57">
        <v>0</v>
      </c>
      <c r="E57" t="s">
        <v>342</v>
      </c>
      <c r="F57" t="s">
        <v>585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636</v>
      </c>
      <c r="B58" t="s">
        <v>39</v>
      </c>
      <c r="C58">
        <v>23</v>
      </c>
      <c r="D58">
        <v>2</v>
      </c>
      <c r="E58" t="s">
        <v>473</v>
      </c>
      <c r="F58" t="s">
        <v>585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637</v>
      </c>
      <c r="B59" t="s">
        <v>39</v>
      </c>
      <c r="C59">
        <v>26</v>
      </c>
      <c r="D59">
        <v>2</v>
      </c>
      <c r="E59" t="s">
        <v>155</v>
      </c>
      <c r="F59" t="s">
        <v>585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638</v>
      </c>
      <c r="B60" t="s">
        <v>39</v>
      </c>
      <c r="C60">
        <v>31</v>
      </c>
      <c r="D60">
        <v>8</v>
      </c>
      <c r="E60" t="s">
        <v>639</v>
      </c>
      <c r="F60" t="s">
        <v>585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640</v>
      </c>
      <c r="B61" t="s">
        <v>39</v>
      </c>
      <c r="C61">
        <v>25</v>
      </c>
      <c r="D61">
        <v>4</v>
      </c>
      <c r="E61" t="s">
        <v>615</v>
      </c>
      <c r="F61" t="s">
        <v>585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641</v>
      </c>
      <c r="B62" t="s">
        <v>39</v>
      </c>
      <c r="C62">
        <v>26</v>
      </c>
      <c r="D62">
        <v>4</v>
      </c>
      <c r="E62" t="s">
        <v>642</v>
      </c>
      <c r="F62" t="s">
        <v>585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643</v>
      </c>
      <c r="B2" t="s">
        <v>644</v>
      </c>
      <c r="C2" t="s">
        <v>112</v>
      </c>
      <c r="D2">
        <v>4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4</v>
      </c>
      <c r="L2">
        <v>0</v>
      </c>
      <c r="M2">
        <v>4</v>
      </c>
      <c r="N2">
        <v>1</v>
      </c>
      <c r="O2">
        <v>5</v>
      </c>
      <c r="P2">
        <v>0</v>
      </c>
      <c r="Q2">
        <v>0</v>
      </c>
      <c r="R2">
        <v>0</v>
      </c>
      <c r="S2">
        <v>1.9</v>
      </c>
      <c r="T2">
        <v>7.0052539404553398E-3</v>
      </c>
      <c r="U2">
        <v>4</v>
      </c>
      <c r="V2">
        <v>5</v>
      </c>
      <c r="Y2">
        <v>1.4</v>
      </c>
    </row>
    <row r="3" spans="1:25" x14ac:dyDescent="0.2">
      <c r="A3" t="s">
        <v>645</v>
      </c>
      <c r="B3" t="s">
        <v>644</v>
      </c>
      <c r="C3" t="s">
        <v>27</v>
      </c>
      <c r="D3">
        <v>17</v>
      </c>
      <c r="E3">
        <v>587</v>
      </c>
      <c r="F3">
        <v>382</v>
      </c>
      <c r="G3">
        <v>4438</v>
      </c>
      <c r="H3">
        <v>29</v>
      </c>
      <c r="I3">
        <v>7</v>
      </c>
      <c r="J3">
        <v>29</v>
      </c>
      <c r="K3">
        <v>73</v>
      </c>
      <c r="L3">
        <v>0</v>
      </c>
      <c r="M3">
        <v>1</v>
      </c>
      <c r="N3">
        <v>1</v>
      </c>
      <c r="O3">
        <v>5</v>
      </c>
      <c r="P3">
        <v>0</v>
      </c>
      <c r="Q3">
        <v>4</v>
      </c>
      <c r="R3">
        <v>2</v>
      </c>
      <c r="S3">
        <v>284.32</v>
      </c>
      <c r="T3">
        <v>1.7513134851138399E-3</v>
      </c>
      <c r="U3">
        <v>2.5172413793103399</v>
      </c>
      <c r="V3">
        <v>5</v>
      </c>
      <c r="W3">
        <v>0.65076660988074997</v>
      </c>
      <c r="X3">
        <v>4.9403747870528099E-2</v>
      </c>
      <c r="Y3">
        <v>289.82</v>
      </c>
    </row>
    <row r="4" spans="1:25" x14ac:dyDescent="0.2">
      <c r="A4" t="s">
        <v>646</v>
      </c>
      <c r="B4" t="s">
        <v>644</v>
      </c>
      <c r="C4" t="s">
        <v>27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5</v>
      </c>
      <c r="K4">
        <v>-4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-0.4</v>
      </c>
      <c r="T4">
        <v>0</v>
      </c>
      <c r="U4">
        <v>-0.8</v>
      </c>
      <c r="Y4">
        <v>-0.4</v>
      </c>
    </row>
    <row r="5" spans="1:25" x14ac:dyDescent="0.2">
      <c r="A5" t="s">
        <v>647</v>
      </c>
      <c r="B5" t="s">
        <v>644</v>
      </c>
      <c r="C5" t="s">
        <v>32</v>
      </c>
      <c r="D5">
        <v>6</v>
      </c>
      <c r="E5">
        <v>0</v>
      </c>
      <c r="F5">
        <v>0</v>
      </c>
      <c r="G5">
        <v>0</v>
      </c>
      <c r="H5">
        <v>0</v>
      </c>
      <c r="I5">
        <v>0</v>
      </c>
      <c r="J5">
        <v>23</v>
      </c>
      <c r="K5">
        <v>102</v>
      </c>
      <c r="L5">
        <v>0</v>
      </c>
      <c r="M5">
        <v>10</v>
      </c>
      <c r="N5">
        <v>9</v>
      </c>
      <c r="O5">
        <v>116</v>
      </c>
      <c r="P5">
        <v>0</v>
      </c>
      <c r="Q5">
        <v>0</v>
      </c>
      <c r="R5">
        <v>0</v>
      </c>
      <c r="S5">
        <v>30.8</v>
      </c>
      <c r="T5">
        <v>1.7513134851138399E-2</v>
      </c>
      <c r="U5">
        <v>4.4347826086956497</v>
      </c>
      <c r="V5">
        <v>12.8888888888889</v>
      </c>
      <c r="Y5">
        <v>26.3</v>
      </c>
    </row>
    <row r="6" spans="1:25" x14ac:dyDescent="0.2">
      <c r="A6" t="s">
        <v>648</v>
      </c>
      <c r="B6" t="s">
        <v>644</v>
      </c>
      <c r="C6" t="s">
        <v>32</v>
      </c>
      <c r="D6">
        <v>14</v>
      </c>
      <c r="E6">
        <v>0</v>
      </c>
      <c r="F6">
        <v>0</v>
      </c>
      <c r="G6">
        <v>0</v>
      </c>
      <c r="H6">
        <v>0</v>
      </c>
      <c r="I6">
        <v>0</v>
      </c>
      <c r="J6">
        <v>99</v>
      </c>
      <c r="K6">
        <v>542</v>
      </c>
      <c r="L6">
        <v>5</v>
      </c>
      <c r="M6">
        <v>70</v>
      </c>
      <c r="N6">
        <v>48</v>
      </c>
      <c r="O6">
        <v>389</v>
      </c>
      <c r="P6">
        <v>3</v>
      </c>
      <c r="Q6">
        <v>0</v>
      </c>
      <c r="R6">
        <v>1</v>
      </c>
      <c r="S6">
        <v>191.1</v>
      </c>
      <c r="T6">
        <v>0.12259194395796801</v>
      </c>
      <c r="U6">
        <v>5.4747474747474696</v>
      </c>
      <c r="V6">
        <v>8.1041666666666696</v>
      </c>
      <c r="Y6">
        <v>167.1</v>
      </c>
    </row>
    <row r="7" spans="1:25" x14ac:dyDescent="0.2">
      <c r="A7" t="s">
        <v>649</v>
      </c>
      <c r="B7" t="s">
        <v>644</v>
      </c>
      <c r="C7" t="s">
        <v>32</v>
      </c>
      <c r="D7">
        <v>12</v>
      </c>
      <c r="E7">
        <v>0</v>
      </c>
      <c r="F7">
        <v>0</v>
      </c>
      <c r="G7">
        <v>0</v>
      </c>
      <c r="H7">
        <v>0</v>
      </c>
      <c r="I7">
        <v>0</v>
      </c>
      <c r="J7">
        <v>42</v>
      </c>
      <c r="K7">
        <v>170</v>
      </c>
      <c r="L7">
        <v>1</v>
      </c>
      <c r="M7">
        <v>19</v>
      </c>
      <c r="N7">
        <v>12</v>
      </c>
      <c r="O7">
        <v>101</v>
      </c>
      <c r="P7">
        <v>1</v>
      </c>
      <c r="Q7">
        <v>0</v>
      </c>
      <c r="R7">
        <v>0</v>
      </c>
      <c r="S7">
        <v>51.1</v>
      </c>
      <c r="T7">
        <v>3.32749562171629E-2</v>
      </c>
      <c r="U7">
        <v>4.0476190476190501</v>
      </c>
      <c r="V7">
        <v>8.4166666666666696</v>
      </c>
      <c r="Y7">
        <v>45.1</v>
      </c>
    </row>
    <row r="8" spans="1:25" x14ac:dyDescent="0.2">
      <c r="A8" t="s">
        <v>589</v>
      </c>
      <c r="B8" t="s">
        <v>644</v>
      </c>
      <c r="C8" t="s">
        <v>32</v>
      </c>
      <c r="D8">
        <v>17</v>
      </c>
      <c r="E8">
        <v>0</v>
      </c>
      <c r="F8">
        <v>0</v>
      </c>
      <c r="G8">
        <v>0</v>
      </c>
      <c r="H8">
        <v>0</v>
      </c>
      <c r="I8">
        <v>0</v>
      </c>
      <c r="J8">
        <v>262</v>
      </c>
      <c r="K8">
        <v>1066</v>
      </c>
      <c r="L8">
        <v>17</v>
      </c>
      <c r="M8">
        <v>16</v>
      </c>
      <c r="N8">
        <v>12</v>
      </c>
      <c r="O8">
        <v>73</v>
      </c>
      <c r="P8">
        <v>0</v>
      </c>
      <c r="Q8">
        <v>2</v>
      </c>
      <c r="R8">
        <v>1</v>
      </c>
      <c r="S8">
        <v>225.9</v>
      </c>
      <c r="T8">
        <v>2.8021015761821401E-2</v>
      </c>
      <c r="U8">
        <v>4.0687022900763399</v>
      </c>
      <c r="V8">
        <v>6.0833333333333304</v>
      </c>
      <c r="Y8">
        <v>219.9</v>
      </c>
    </row>
    <row r="9" spans="1:25" x14ac:dyDescent="0.2">
      <c r="A9" t="s">
        <v>650</v>
      </c>
      <c r="B9" t="s">
        <v>644</v>
      </c>
      <c r="C9" t="s">
        <v>39</v>
      </c>
      <c r="D9">
        <v>13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24</v>
      </c>
      <c r="N9">
        <v>18</v>
      </c>
      <c r="O9">
        <v>216</v>
      </c>
      <c r="P9">
        <v>4</v>
      </c>
      <c r="Q9">
        <v>0</v>
      </c>
      <c r="R9">
        <v>0</v>
      </c>
      <c r="S9">
        <v>63.6</v>
      </c>
      <c r="T9">
        <v>4.2031523642732001E-2</v>
      </c>
      <c r="V9">
        <v>12</v>
      </c>
      <c r="Y9">
        <v>54.6</v>
      </c>
    </row>
    <row r="10" spans="1:25" x14ac:dyDescent="0.2">
      <c r="A10" t="s">
        <v>651</v>
      </c>
      <c r="B10" t="s">
        <v>644</v>
      </c>
      <c r="C10" t="s">
        <v>39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11</v>
      </c>
      <c r="N10">
        <v>11</v>
      </c>
      <c r="O10">
        <v>113</v>
      </c>
      <c r="P10">
        <v>1</v>
      </c>
      <c r="Q10">
        <v>0</v>
      </c>
      <c r="R10">
        <v>0</v>
      </c>
      <c r="S10">
        <v>28.3</v>
      </c>
      <c r="T10">
        <v>1.92644483362522E-2</v>
      </c>
      <c r="V10">
        <v>10.2727272727273</v>
      </c>
      <c r="Y10">
        <v>22.8</v>
      </c>
    </row>
    <row r="11" spans="1:25" x14ac:dyDescent="0.2">
      <c r="A11" t="s">
        <v>652</v>
      </c>
      <c r="B11" t="s">
        <v>644</v>
      </c>
      <c r="C11" t="s">
        <v>39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15</v>
      </c>
      <c r="N11">
        <v>11</v>
      </c>
      <c r="O11">
        <v>60</v>
      </c>
      <c r="P11">
        <v>4</v>
      </c>
      <c r="Q11">
        <v>0</v>
      </c>
      <c r="R11">
        <v>0</v>
      </c>
      <c r="S11">
        <v>41</v>
      </c>
      <c r="T11">
        <v>2.62697022767075E-2</v>
      </c>
      <c r="V11">
        <v>5.4545454545454497</v>
      </c>
      <c r="Y11">
        <v>35.5</v>
      </c>
    </row>
    <row r="12" spans="1:25" x14ac:dyDescent="0.2">
      <c r="A12" t="s">
        <v>653</v>
      </c>
      <c r="B12" t="s">
        <v>644</v>
      </c>
      <c r="C12" t="s">
        <v>39</v>
      </c>
      <c r="D12">
        <v>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43</v>
      </c>
      <c r="N12">
        <v>26</v>
      </c>
      <c r="O12">
        <v>395</v>
      </c>
      <c r="P12">
        <v>3</v>
      </c>
      <c r="Q12">
        <v>0</v>
      </c>
      <c r="R12">
        <v>0</v>
      </c>
      <c r="S12">
        <v>85.5</v>
      </c>
      <c r="T12">
        <v>7.5306479859894901E-2</v>
      </c>
      <c r="V12">
        <v>15.192307692307701</v>
      </c>
      <c r="Y12">
        <v>70.5</v>
      </c>
    </row>
    <row r="13" spans="1:25" x14ac:dyDescent="0.2">
      <c r="A13" t="s">
        <v>654</v>
      </c>
      <c r="B13" t="s">
        <v>644</v>
      </c>
      <c r="C13" t="s">
        <v>44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9</v>
      </c>
      <c r="K13">
        <v>95</v>
      </c>
      <c r="L13">
        <v>0</v>
      </c>
      <c r="M13">
        <v>146</v>
      </c>
      <c r="N13">
        <v>106</v>
      </c>
      <c r="O13">
        <v>1161</v>
      </c>
      <c r="P13">
        <v>6</v>
      </c>
      <c r="Q13">
        <v>0</v>
      </c>
      <c r="R13">
        <v>0</v>
      </c>
      <c r="S13">
        <v>267.60000000000002</v>
      </c>
      <c r="T13">
        <v>0.25569176882661998</v>
      </c>
      <c r="U13">
        <v>10.5555555555556</v>
      </c>
      <c r="V13">
        <v>10.952830188679201</v>
      </c>
      <c r="Y13">
        <v>214.6</v>
      </c>
    </row>
    <row r="14" spans="1:25" x14ac:dyDescent="0.2">
      <c r="A14" t="s">
        <v>655</v>
      </c>
      <c r="B14" t="s">
        <v>644</v>
      </c>
      <c r="C14" t="s">
        <v>44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30</v>
      </c>
      <c r="O14">
        <v>502</v>
      </c>
      <c r="P14">
        <v>3</v>
      </c>
      <c r="Q14">
        <v>0</v>
      </c>
      <c r="R14">
        <v>0</v>
      </c>
      <c r="S14">
        <v>98.2</v>
      </c>
      <c r="T14">
        <v>9.1068301225919399E-2</v>
      </c>
      <c r="V14">
        <v>16.733333333333299</v>
      </c>
      <c r="Y14">
        <v>83.2</v>
      </c>
    </row>
    <row r="15" spans="1:25" x14ac:dyDescent="0.2">
      <c r="A15" t="s">
        <v>656</v>
      </c>
      <c r="B15" t="s">
        <v>644</v>
      </c>
      <c r="C15" t="s">
        <v>44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59</v>
      </c>
      <c r="N15">
        <v>38</v>
      </c>
      <c r="O15">
        <v>479</v>
      </c>
      <c r="P15">
        <v>3</v>
      </c>
      <c r="Q15">
        <v>0</v>
      </c>
      <c r="R15">
        <v>0</v>
      </c>
      <c r="S15">
        <v>103.9</v>
      </c>
      <c r="T15">
        <v>0.103327495621716</v>
      </c>
      <c r="V15">
        <v>12.605263157894701</v>
      </c>
      <c r="Y15">
        <v>84.9</v>
      </c>
    </row>
    <row r="16" spans="1:25" x14ac:dyDescent="0.2">
      <c r="A16" t="s">
        <v>589</v>
      </c>
      <c r="B16" t="s">
        <v>644</v>
      </c>
      <c r="C16" t="s">
        <v>44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40</v>
      </c>
      <c r="L16">
        <v>0</v>
      </c>
      <c r="M16">
        <v>9</v>
      </c>
      <c r="N16">
        <v>1</v>
      </c>
      <c r="O16">
        <v>41</v>
      </c>
      <c r="P16">
        <v>1</v>
      </c>
      <c r="Q16">
        <v>0</v>
      </c>
      <c r="R16">
        <v>0</v>
      </c>
      <c r="S16">
        <v>15.1</v>
      </c>
      <c r="T16">
        <v>1.5761821366024501E-2</v>
      </c>
      <c r="U16">
        <v>40</v>
      </c>
      <c r="V16">
        <v>41</v>
      </c>
      <c r="Y16">
        <v>14.6</v>
      </c>
    </row>
    <row r="17" spans="1:25" x14ac:dyDescent="0.2">
      <c r="A17" t="s">
        <v>657</v>
      </c>
      <c r="B17" t="s">
        <v>644</v>
      </c>
      <c r="C17" t="s">
        <v>44</v>
      </c>
      <c r="D17">
        <v>16</v>
      </c>
      <c r="E17">
        <v>0</v>
      </c>
      <c r="F17">
        <v>0</v>
      </c>
      <c r="G17">
        <v>0</v>
      </c>
      <c r="H17">
        <v>0</v>
      </c>
      <c r="I17">
        <v>0</v>
      </c>
      <c r="J17">
        <v>7</v>
      </c>
      <c r="K17">
        <v>36</v>
      </c>
      <c r="L17">
        <v>0</v>
      </c>
      <c r="M17">
        <v>64</v>
      </c>
      <c r="N17">
        <v>47</v>
      </c>
      <c r="O17">
        <v>616</v>
      </c>
      <c r="P17">
        <v>0</v>
      </c>
      <c r="Q17">
        <v>0</v>
      </c>
      <c r="R17">
        <v>0</v>
      </c>
      <c r="S17">
        <v>116.2</v>
      </c>
      <c r="T17">
        <v>0.11208406304728501</v>
      </c>
      <c r="U17">
        <v>5.1428571428571397</v>
      </c>
      <c r="V17">
        <v>13.106382978723399</v>
      </c>
      <c r="Y17">
        <v>88.7</v>
      </c>
    </row>
    <row r="18" spans="1:25" x14ac:dyDescent="0.2">
      <c r="A18" t="s">
        <v>658</v>
      </c>
      <c r="B18" t="s">
        <v>644</v>
      </c>
      <c r="C18" t="s">
        <v>44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7</v>
      </c>
      <c r="P18">
        <v>0</v>
      </c>
      <c r="Q18">
        <v>0</v>
      </c>
      <c r="R18">
        <v>0</v>
      </c>
      <c r="S18">
        <v>1.7</v>
      </c>
      <c r="T18">
        <v>1.7513134851138399E-3</v>
      </c>
      <c r="V18">
        <v>7</v>
      </c>
      <c r="Y18">
        <v>1.2</v>
      </c>
    </row>
    <row r="19" spans="1:25" x14ac:dyDescent="0.2">
      <c r="A19" t="s">
        <v>659</v>
      </c>
      <c r="B19" t="s">
        <v>644</v>
      </c>
      <c r="C19" t="s">
        <v>44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</v>
      </c>
      <c r="N19">
        <v>2</v>
      </c>
      <c r="O19">
        <v>15</v>
      </c>
      <c r="P19">
        <v>0</v>
      </c>
      <c r="Q19">
        <v>0</v>
      </c>
      <c r="R19">
        <v>0</v>
      </c>
      <c r="S19">
        <v>3.5</v>
      </c>
      <c r="T19">
        <v>5.2539404553415096E-3</v>
      </c>
      <c r="V19">
        <v>7.5</v>
      </c>
      <c r="Y19">
        <v>2.5</v>
      </c>
    </row>
    <row r="20" spans="1:25" x14ac:dyDescent="0.2">
      <c r="A20" t="s">
        <v>660</v>
      </c>
      <c r="B20" t="s">
        <v>644</v>
      </c>
      <c r="C20" t="s">
        <v>44</v>
      </c>
      <c r="D20">
        <v>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15</v>
      </c>
      <c r="N20">
        <v>8</v>
      </c>
      <c r="O20">
        <v>141</v>
      </c>
      <c r="P20">
        <v>0</v>
      </c>
      <c r="Q20">
        <v>0</v>
      </c>
      <c r="R20">
        <v>0</v>
      </c>
      <c r="S20">
        <v>22.1</v>
      </c>
      <c r="T20">
        <v>2.62697022767075E-2</v>
      </c>
      <c r="V20">
        <v>17.625</v>
      </c>
      <c r="Y20">
        <v>18.100000000000001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644</v>
      </c>
      <c r="B31">
        <v>6562</v>
      </c>
      <c r="C31">
        <v>4438</v>
      </c>
      <c r="D31">
        <v>478</v>
      </c>
      <c r="E31">
        <v>2124</v>
      </c>
      <c r="F31">
        <v>23</v>
      </c>
      <c r="G31">
        <v>1631.42</v>
      </c>
      <c r="H31">
        <v>587</v>
      </c>
      <c r="I31">
        <v>0.65076660988074997</v>
      </c>
      <c r="J31">
        <v>29</v>
      </c>
      <c r="K31">
        <v>7</v>
      </c>
      <c r="L31">
        <v>6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661</v>
      </c>
      <c r="B36" t="s">
        <v>27</v>
      </c>
      <c r="C36">
        <v>28</v>
      </c>
      <c r="D36">
        <v>8</v>
      </c>
      <c r="E36" t="s">
        <v>422</v>
      </c>
      <c r="F36" t="s">
        <v>644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662</v>
      </c>
      <c r="B37" t="s">
        <v>27</v>
      </c>
      <c r="C37">
        <v>25</v>
      </c>
      <c r="D37">
        <v>0</v>
      </c>
      <c r="E37" t="s">
        <v>141</v>
      </c>
      <c r="F37" t="s">
        <v>644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663</v>
      </c>
      <c r="B38" t="s">
        <v>27</v>
      </c>
      <c r="C38">
        <v>23</v>
      </c>
      <c r="D38">
        <v>0</v>
      </c>
      <c r="E38" t="s">
        <v>560</v>
      </c>
      <c r="F38" t="s">
        <v>644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664</v>
      </c>
      <c r="B39" t="s">
        <v>27</v>
      </c>
      <c r="C39">
        <v>29</v>
      </c>
      <c r="D39">
        <v>7</v>
      </c>
      <c r="E39" t="s">
        <v>361</v>
      </c>
      <c r="F39" t="s">
        <v>644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665</v>
      </c>
      <c r="B40" t="s">
        <v>32</v>
      </c>
      <c r="C40">
        <v>25</v>
      </c>
      <c r="D40">
        <v>2</v>
      </c>
      <c r="E40" t="s">
        <v>666</v>
      </c>
      <c r="F40" t="s">
        <v>644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667</v>
      </c>
      <c r="B41" t="s">
        <v>32</v>
      </c>
      <c r="C41">
        <v>21</v>
      </c>
      <c r="D41">
        <v>0</v>
      </c>
      <c r="E41" t="s">
        <v>153</v>
      </c>
      <c r="F41" t="s">
        <v>644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668</v>
      </c>
      <c r="B42" t="s">
        <v>32</v>
      </c>
      <c r="C42">
        <v>23</v>
      </c>
      <c r="D42">
        <v>0</v>
      </c>
      <c r="E42" t="s">
        <v>220</v>
      </c>
      <c r="F42" t="s">
        <v>644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669</v>
      </c>
      <c r="B43" t="s">
        <v>32</v>
      </c>
      <c r="C43">
        <v>23</v>
      </c>
      <c r="D43">
        <v>2</v>
      </c>
      <c r="E43" t="s">
        <v>108</v>
      </c>
      <c r="F43" t="s">
        <v>644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670</v>
      </c>
      <c r="B44" t="s">
        <v>32</v>
      </c>
      <c r="C44">
        <v>26</v>
      </c>
      <c r="D44">
        <v>5</v>
      </c>
      <c r="E44" t="s">
        <v>243</v>
      </c>
      <c r="F44" t="s">
        <v>644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671</v>
      </c>
      <c r="B45" t="s">
        <v>32</v>
      </c>
      <c r="C45">
        <v>27</v>
      </c>
      <c r="D45">
        <v>2</v>
      </c>
      <c r="E45" t="s">
        <v>672</v>
      </c>
      <c r="F45" t="s">
        <v>644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673</v>
      </c>
      <c r="B46" t="s">
        <v>44</v>
      </c>
      <c r="C46">
        <v>26</v>
      </c>
      <c r="D46">
        <v>1</v>
      </c>
      <c r="E46" t="s">
        <v>178</v>
      </c>
      <c r="F46" t="s">
        <v>644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674</v>
      </c>
      <c r="B47" t="s">
        <v>44</v>
      </c>
      <c r="C47">
        <v>26</v>
      </c>
      <c r="D47">
        <v>3</v>
      </c>
      <c r="E47" t="s">
        <v>675</v>
      </c>
      <c r="F47" t="s">
        <v>644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676</v>
      </c>
      <c r="B48" t="s">
        <v>44</v>
      </c>
      <c r="C48">
        <v>23</v>
      </c>
      <c r="D48">
        <v>0</v>
      </c>
      <c r="E48" t="s">
        <v>201</v>
      </c>
      <c r="F48" t="s">
        <v>644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677</v>
      </c>
      <c r="B49" t="s">
        <v>44</v>
      </c>
      <c r="C49">
        <v>23</v>
      </c>
      <c r="D49">
        <v>0</v>
      </c>
      <c r="E49" t="s">
        <v>678</v>
      </c>
      <c r="F49" t="s">
        <v>644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679</v>
      </c>
      <c r="B50" t="s">
        <v>44</v>
      </c>
      <c r="C50">
        <v>23</v>
      </c>
      <c r="D50">
        <v>0</v>
      </c>
      <c r="E50" t="s">
        <v>163</v>
      </c>
      <c r="F50" t="s">
        <v>644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680</v>
      </c>
      <c r="B51" t="s">
        <v>44</v>
      </c>
      <c r="C51">
        <v>33</v>
      </c>
      <c r="D51">
        <v>12</v>
      </c>
      <c r="E51" t="s">
        <v>422</v>
      </c>
      <c r="F51" t="s">
        <v>644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681</v>
      </c>
      <c r="B52" t="s">
        <v>44</v>
      </c>
      <c r="C52">
        <v>26</v>
      </c>
      <c r="D52">
        <v>3</v>
      </c>
      <c r="E52" t="s">
        <v>682</v>
      </c>
      <c r="F52" t="s">
        <v>644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683</v>
      </c>
      <c r="B53" t="s">
        <v>44</v>
      </c>
      <c r="C53">
        <v>28</v>
      </c>
      <c r="D53">
        <v>7</v>
      </c>
      <c r="E53" t="s">
        <v>684</v>
      </c>
      <c r="F53" t="s">
        <v>644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685</v>
      </c>
      <c r="B54" t="s">
        <v>44</v>
      </c>
      <c r="C54">
        <v>28</v>
      </c>
      <c r="D54">
        <v>7</v>
      </c>
      <c r="E54" t="s">
        <v>454</v>
      </c>
      <c r="F54" t="s">
        <v>644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686</v>
      </c>
      <c r="B55" t="s">
        <v>44</v>
      </c>
      <c r="C55">
        <v>23</v>
      </c>
      <c r="D55">
        <v>3</v>
      </c>
      <c r="E55" t="s">
        <v>79</v>
      </c>
      <c r="F55" t="s">
        <v>644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687</v>
      </c>
      <c r="B56" t="s">
        <v>44</v>
      </c>
      <c r="C56">
        <v>22</v>
      </c>
      <c r="D56">
        <v>2</v>
      </c>
      <c r="E56" t="s">
        <v>153</v>
      </c>
      <c r="F56" t="s">
        <v>644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688</v>
      </c>
      <c r="B57" t="s">
        <v>39</v>
      </c>
      <c r="C57">
        <v>24</v>
      </c>
      <c r="D57">
        <v>1</v>
      </c>
      <c r="E57" t="s">
        <v>689</v>
      </c>
      <c r="F57" t="s">
        <v>644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690</v>
      </c>
      <c r="B58" t="s">
        <v>39</v>
      </c>
      <c r="C58">
        <v>22</v>
      </c>
      <c r="D58">
        <v>0</v>
      </c>
      <c r="E58" t="s">
        <v>95</v>
      </c>
      <c r="F58" t="s">
        <v>644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691</v>
      </c>
      <c r="B59" t="s">
        <v>39</v>
      </c>
      <c r="C59">
        <v>23</v>
      </c>
      <c r="D59">
        <v>2</v>
      </c>
      <c r="E59" t="s">
        <v>332</v>
      </c>
      <c r="F59" t="s">
        <v>644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692</v>
      </c>
      <c r="B60" t="s">
        <v>39</v>
      </c>
      <c r="C60">
        <v>24</v>
      </c>
      <c r="D60">
        <v>3</v>
      </c>
      <c r="E60" t="s">
        <v>363</v>
      </c>
      <c r="F60" t="s">
        <v>644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693</v>
      </c>
      <c r="B61" t="s">
        <v>39</v>
      </c>
      <c r="C61">
        <v>26</v>
      </c>
      <c r="D61">
        <v>2</v>
      </c>
      <c r="E61" t="s">
        <v>694</v>
      </c>
      <c r="F61" t="s">
        <v>644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695</v>
      </c>
      <c r="B2" t="s">
        <v>696</v>
      </c>
      <c r="C2" t="s">
        <v>27</v>
      </c>
      <c r="D2">
        <v>17</v>
      </c>
      <c r="E2">
        <v>542</v>
      </c>
      <c r="F2">
        <v>350</v>
      </c>
      <c r="G2">
        <v>3695</v>
      </c>
      <c r="H2">
        <v>26</v>
      </c>
      <c r="I2">
        <v>12</v>
      </c>
      <c r="J2">
        <v>34</v>
      </c>
      <c r="K2">
        <v>94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2</v>
      </c>
      <c r="S2">
        <v>239.2</v>
      </c>
      <c r="T2">
        <v>0</v>
      </c>
      <c r="U2">
        <v>2.7647058823529398</v>
      </c>
      <c r="W2">
        <v>0.645756457564576</v>
      </c>
      <c r="X2">
        <v>4.7970479704797099E-2</v>
      </c>
      <c r="Y2">
        <v>251.2</v>
      </c>
    </row>
    <row r="3" spans="1:25" x14ac:dyDescent="0.2">
      <c r="A3" t="s">
        <v>697</v>
      </c>
      <c r="B3" t="s">
        <v>696</v>
      </c>
      <c r="C3" t="s">
        <v>27</v>
      </c>
      <c r="D3">
        <v>4</v>
      </c>
      <c r="E3">
        <v>21</v>
      </c>
      <c r="F3">
        <v>14</v>
      </c>
      <c r="G3">
        <v>195</v>
      </c>
      <c r="H3">
        <v>1</v>
      </c>
      <c r="I3">
        <v>0</v>
      </c>
      <c r="J3">
        <v>1</v>
      </c>
      <c r="K3">
        <v>-1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11.7</v>
      </c>
      <c r="T3">
        <v>0</v>
      </c>
      <c r="U3">
        <v>-1</v>
      </c>
      <c r="W3">
        <v>0.66666666666666696</v>
      </c>
      <c r="X3">
        <v>4.7619047619047603E-2</v>
      </c>
      <c r="Y3">
        <v>11.7</v>
      </c>
    </row>
    <row r="4" spans="1:25" x14ac:dyDescent="0.2">
      <c r="A4" t="s">
        <v>698</v>
      </c>
      <c r="B4" t="s">
        <v>696</v>
      </c>
      <c r="C4" t="s">
        <v>32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186</v>
      </c>
      <c r="K4">
        <v>770</v>
      </c>
      <c r="L4">
        <v>7</v>
      </c>
      <c r="M4">
        <v>43</v>
      </c>
      <c r="N4">
        <v>28</v>
      </c>
      <c r="O4">
        <v>206</v>
      </c>
      <c r="P4">
        <v>0</v>
      </c>
      <c r="Q4">
        <v>0</v>
      </c>
      <c r="R4">
        <v>0</v>
      </c>
      <c r="S4">
        <v>167.6</v>
      </c>
      <c r="T4">
        <v>7.3253833049403694E-2</v>
      </c>
      <c r="U4">
        <v>4.1397849462365599</v>
      </c>
      <c r="V4">
        <v>7.3571428571428603</v>
      </c>
      <c r="Y4">
        <v>153.6</v>
      </c>
    </row>
    <row r="5" spans="1:25" x14ac:dyDescent="0.2">
      <c r="A5" t="s">
        <v>699</v>
      </c>
      <c r="B5" t="s">
        <v>696</v>
      </c>
      <c r="C5" t="s">
        <v>32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213</v>
      </c>
      <c r="K5">
        <v>1121</v>
      </c>
      <c r="L5">
        <v>2</v>
      </c>
      <c r="M5">
        <v>72</v>
      </c>
      <c r="N5">
        <v>59</v>
      </c>
      <c r="O5">
        <v>395</v>
      </c>
      <c r="P5">
        <v>5</v>
      </c>
      <c r="Q5">
        <v>1</v>
      </c>
      <c r="R5">
        <v>0</v>
      </c>
      <c r="S5">
        <v>248.6</v>
      </c>
      <c r="T5">
        <v>0.12265758091993199</v>
      </c>
      <c r="U5">
        <v>5.2629107981220704</v>
      </c>
      <c r="V5">
        <v>6.6949152542372898</v>
      </c>
      <c r="Y5">
        <v>221.1</v>
      </c>
    </row>
    <row r="6" spans="1:25" x14ac:dyDescent="0.2">
      <c r="A6" t="s">
        <v>700</v>
      </c>
      <c r="B6" t="s">
        <v>696</v>
      </c>
      <c r="C6" t="s">
        <v>32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0.7</v>
      </c>
      <c r="T6">
        <v>0</v>
      </c>
      <c r="U6">
        <v>7</v>
      </c>
      <c r="Y6">
        <v>0.7</v>
      </c>
    </row>
    <row r="7" spans="1:25" x14ac:dyDescent="0.2">
      <c r="A7" t="s">
        <v>701</v>
      </c>
      <c r="B7" t="s">
        <v>696</v>
      </c>
      <c r="C7" t="s">
        <v>32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10</v>
      </c>
      <c r="K7">
        <v>31</v>
      </c>
      <c r="L7">
        <v>0</v>
      </c>
      <c r="M7">
        <v>1</v>
      </c>
      <c r="N7">
        <v>1</v>
      </c>
      <c r="O7">
        <v>17</v>
      </c>
      <c r="P7">
        <v>0</v>
      </c>
      <c r="Q7">
        <v>0</v>
      </c>
      <c r="R7">
        <v>0</v>
      </c>
      <c r="S7">
        <v>5.8</v>
      </c>
      <c r="T7">
        <v>1.7035775127768301E-3</v>
      </c>
      <c r="U7">
        <v>3.1</v>
      </c>
      <c r="V7">
        <v>17</v>
      </c>
      <c r="Y7">
        <v>5.3</v>
      </c>
    </row>
    <row r="8" spans="1:25" x14ac:dyDescent="0.2">
      <c r="A8" t="s">
        <v>702</v>
      </c>
      <c r="B8" t="s">
        <v>696</v>
      </c>
      <c r="C8" t="s">
        <v>39</v>
      </c>
      <c r="D8">
        <v>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15</v>
      </c>
      <c r="N8">
        <v>13</v>
      </c>
      <c r="O8">
        <v>114</v>
      </c>
      <c r="P8">
        <v>0</v>
      </c>
      <c r="Q8">
        <v>0</v>
      </c>
      <c r="R8">
        <v>0</v>
      </c>
      <c r="S8">
        <v>24.4</v>
      </c>
      <c r="T8">
        <v>2.55536626916525E-2</v>
      </c>
      <c r="V8">
        <v>8.7692307692307701</v>
      </c>
      <c r="Y8">
        <v>17.899999999999999</v>
      </c>
    </row>
    <row r="9" spans="1:25" x14ac:dyDescent="0.2">
      <c r="A9" t="s">
        <v>703</v>
      </c>
      <c r="B9" t="s">
        <v>696</v>
      </c>
      <c r="C9" t="s">
        <v>39</v>
      </c>
      <c r="D9">
        <v>6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7</v>
      </c>
      <c r="N9">
        <v>6</v>
      </c>
      <c r="O9">
        <v>66</v>
      </c>
      <c r="P9">
        <v>2</v>
      </c>
      <c r="Q9">
        <v>0</v>
      </c>
      <c r="R9">
        <v>0</v>
      </c>
      <c r="S9">
        <v>26.6</v>
      </c>
      <c r="T9">
        <v>1.1925042589437799E-2</v>
      </c>
      <c r="V9">
        <v>11</v>
      </c>
      <c r="Y9">
        <v>21.6</v>
      </c>
    </row>
    <row r="10" spans="1:25" x14ac:dyDescent="0.2">
      <c r="A10" t="s">
        <v>704</v>
      </c>
      <c r="B10" t="s">
        <v>696</v>
      </c>
      <c r="C10" t="s">
        <v>39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67</v>
      </c>
      <c r="N10">
        <v>53</v>
      </c>
      <c r="O10">
        <v>470</v>
      </c>
      <c r="P10">
        <v>2</v>
      </c>
      <c r="Q10">
        <v>0</v>
      </c>
      <c r="R10">
        <v>0</v>
      </c>
      <c r="S10">
        <v>112</v>
      </c>
      <c r="T10">
        <v>0.114139693356048</v>
      </c>
      <c r="V10">
        <v>8.8679245283018897</v>
      </c>
      <c r="Y10">
        <v>85.5</v>
      </c>
    </row>
    <row r="11" spans="1:25" x14ac:dyDescent="0.2">
      <c r="A11" t="s">
        <v>705</v>
      </c>
      <c r="B11" t="s">
        <v>696</v>
      </c>
      <c r="C11" t="s">
        <v>39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26</v>
      </c>
      <c r="P11">
        <v>0</v>
      </c>
      <c r="Q11">
        <v>0</v>
      </c>
      <c r="R11">
        <v>0</v>
      </c>
      <c r="S11">
        <v>6.6</v>
      </c>
      <c r="T11">
        <v>1.1925042589437799E-2</v>
      </c>
      <c r="V11">
        <v>6.5</v>
      </c>
      <c r="Y11">
        <v>4.5999999999999996</v>
      </c>
    </row>
    <row r="12" spans="1:25" x14ac:dyDescent="0.2">
      <c r="A12" t="s">
        <v>706</v>
      </c>
      <c r="B12" t="s">
        <v>696</v>
      </c>
      <c r="C12" t="s">
        <v>44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0</v>
      </c>
      <c r="L12">
        <v>0</v>
      </c>
      <c r="M12">
        <v>100</v>
      </c>
      <c r="N12">
        <v>60</v>
      </c>
      <c r="O12">
        <v>788</v>
      </c>
      <c r="P12">
        <v>6</v>
      </c>
      <c r="Q12">
        <v>0</v>
      </c>
      <c r="R12">
        <v>0</v>
      </c>
      <c r="S12">
        <v>174.8</v>
      </c>
      <c r="T12">
        <v>0.17035775127768299</v>
      </c>
      <c r="U12">
        <v>0</v>
      </c>
      <c r="V12">
        <v>13.133333333333301</v>
      </c>
      <c r="Y12">
        <v>144.80000000000001</v>
      </c>
    </row>
    <row r="13" spans="1:25" x14ac:dyDescent="0.2">
      <c r="A13" t="s">
        <v>695</v>
      </c>
      <c r="B13" t="s">
        <v>696</v>
      </c>
      <c r="C13" t="s">
        <v>44</v>
      </c>
      <c r="D13">
        <v>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8</v>
      </c>
      <c r="N13">
        <v>4</v>
      </c>
      <c r="O13">
        <v>50</v>
      </c>
      <c r="P13">
        <v>0</v>
      </c>
      <c r="Q13">
        <v>0</v>
      </c>
      <c r="R13">
        <v>0</v>
      </c>
      <c r="S13">
        <v>9</v>
      </c>
      <c r="T13">
        <v>1.36286201022147E-2</v>
      </c>
      <c r="V13">
        <v>12.5</v>
      </c>
      <c r="Y13">
        <v>7</v>
      </c>
    </row>
    <row r="14" spans="1:25" x14ac:dyDescent="0.2">
      <c r="A14" t="s">
        <v>707</v>
      </c>
      <c r="B14" t="s">
        <v>696</v>
      </c>
      <c r="C14" t="s">
        <v>44</v>
      </c>
      <c r="D14">
        <v>14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80</v>
      </c>
      <c r="L14">
        <v>2</v>
      </c>
      <c r="M14">
        <v>66</v>
      </c>
      <c r="N14">
        <v>41</v>
      </c>
      <c r="O14">
        <v>611</v>
      </c>
      <c r="P14">
        <v>7</v>
      </c>
      <c r="Q14">
        <v>0</v>
      </c>
      <c r="R14">
        <v>0</v>
      </c>
      <c r="S14">
        <v>164.1</v>
      </c>
      <c r="T14">
        <v>0.112436115843271</v>
      </c>
      <c r="U14">
        <v>11.4285714285714</v>
      </c>
      <c r="V14">
        <v>14.902439024390199</v>
      </c>
      <c r="Y14">
        <v>143.6</v>
      </c>
    </row>
    <row r="15" spans="1:25" x14ac:dyDescent="0.2">
      <c r="A15" t="s">
        <v>708</v>
      </c>
      <c r="B15" t="s">
        <v>696</v>
      </c>
      <c r="C15" t="s">
        <v>44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1</v>
      </c>
      <c r="O15">
        <v>17</v>
      </c>
      <c r="P15">
        <v>0</v>
      </c>
      <c r="Q15">
        <v>0</v>
      </c>
      <c r="R15">
        <v>0</v>
      </c>
      <c r="S15">
        <v>2.7</v>
      </c>
      <c r="T15">
        <v>6.8143100511073298E-3</v>
      </c>
      <c r="V15">
        <v>17</v>
      </c>
      <c r="Y15">
        <v>2.2000000000000002</v>
      </c>
    </row>
    <row r="16" spans="1:25" x14ac:dyDescent="0.2">
      <c r="A16" t="s">
        <v>709</v>
      </c>
      <c r="B16" t="s">
        <v>696</v>
      </c>
      <c r="C16" t="s">
        <v>44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50</v>
      </c>
      <c r="N16">
        <v>34</v>
      </c>
      <c r="O16">
        <v>417</v>
      </c>
      <c r="P16">
        <v>1</v>
      </c>
      <c r="Q16">
        <v>0</v>
      </c>
      <c r="R16">
        <v>0</v>
      </c>
      <c r="S16">
        <v>81.7</v>
      </c>
      <c r="T16">
        <v>8.5178875638841606E-2</v>
      </c>
      <c r="V16">
        <v>12.264705882352899</v>
      </c>
      <c r="Y16">
        <v>64.7</v>
      </c>
    </row>
    <row r="17" spans="1:25" x14ac:dyDescent="0.2">
      <c r="A17" t="s">
        <v>710</v>
      </c>
      <c r="B17" t="s">
        <v>696</v>
      </c>
      <c r="C17" t="s">
        <v>44</v>
      </c>
      <c r="D17">
        <v>13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11</v>
      </c>
      <c r="L17">
        <v>0</v>
      </c>
      <c r="M17">
        <v>67</v>
      </c>
      <c r="N17">
        <v>42</v>
      </c>
      <c r="O17">
        <v>425</v>
      </c>
      <c r="P17">
        <v>3</v>
      </c>
      <c r="Q17">
        <v>0</v>
      </c>
      <c r="R17">
        <v>0</v>
      </c>
      <c r="S17">
        <v>101.6</v>
      </c>
      <c r="T17">
        <v>0.114139693356048</v>
      </c>
      <c r="U17">
        <v>11</v>
      </c>
      <c r="V17">
        <v>10.119047619047601</v>
      </c>
      <c r="Y17">
        <v>82.6</v>
      </c>
    </row>
    <row r="18" spans="1:25" x14ac:dyDescent="0.2">
      <c r="A18" t="s">
        <v>711</v>
      </c>
      <c r="B18" t="s">
        <v>696</v>
      </c>
      <c r="C18" t="s">
        <v>44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10</v>
      </c>
      <c r="N18">
        <v>5</v>
      </c>
      <c r="O18">
        <v>82</v>
      </c>
      <c r="P18">
        <v>1</v>
      </c>
      <c r="Q18">
        <v>0</v>
      </c>
      <c r="R18">
        <v>0</v>
      </c>
      <c r="S18">
        <v>19.2</v>
      </c>
      <c r="T18">
        <v>1.7035775127768299E-2</v>
      </c>
      <c r="V18">
        <v>16.399999999999999</v>
      </c>
      <c r="Y18">
        <v>16.7</v>
      </c>
    </row>
    <row r="19" spans="1:25" x14ac:dyDescent="0.2">
      <c r="A19" t="s">
        <v>198</v>
      </c>
      <c r="B19" t="s">
        <v>696</v>
      </c>
      <c r="C19" t="s">
        <v>44</v>
      </c>
      <c r="D19">
        <v>7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22</v>
      </c>
      <c r="N19">
        <v>13</v>
      </c>
      <c r="O19">
        <v>206</v>
      </c>
      <c r="P19">
        <v>0</v>
      </c>
      <c r="Q19">
        <v>0</v>
      </c>
      <c r="R19">
        <v>0</v>
      </c>
      <c r="S19">
        <v>33.6</v>
      </c>
      <c r="T19">
        <v>3.7478705281090298E-2</v>
      </c>
      <c r="V19">
        <v>15.846153846153801</v>
      </c>
      <c r="Y19">
        <v>27.1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696</v>
      </c>
      <c r="B31">
        <v>6003</v>
      </c>
      <c r="C31">
        <v>3890</v>
      </c>
      <c r="D31">
        <v>455</v>
      </c>
      <c r="E31">
        <v>2113</v>
      </c>
      <c r="F31">
        <v>12</v>
      </c>
      <c r="G31">
        <v>1429.9</v>
      </c>
      <c r="H31">
        <v>563</v>
      </c>
      <c r="I31">
        <v>0.64653641207815304</v>
      </c>
      <c r="J31">
        <v>27</v>
      </c>
      <c r="K31">
        <v>12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712</v>
      </c>
      <c r="B36" t="s">
        <v>27</v>
      </c>
      <c r="C36">
        <v>25</v>
      </c>
      <c r="D36">
        <v>0</v>
      </c>
      <c r="E36" t="s">
        <v>340</v>
      </c>
      <c r="F36" t="s">
        <v>696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713</v>
      </c>
      <c r="B37" t="s">
        <v>27</v>
      </c>
      <c r="C37">
        <v>28</v>
      </c>
      <c r="D37">
        <v>1</v>
      </c>
      <c r="E37" t="s">
        <v>222</v>
      </c>
      <c r="F37" t="s">
        <v>696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714</v>
      </c>
      <c r="B38" t="s">
        <v>27</v>
      </c>
      <c r="C38">
        <v>24</v>
      </c>
      <c r="D38">
        <v>4</v>
      </c>
      <c r="E38" t="s">
        <v>88</v>
      </c>
      <c r="F38" t="s">
        <v>696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715</v>
      </c>
      <c r="B39" t="s">
        <v>32</v>
      </c>
      <c r="C39">
        <v>25</v>
      </c>
      <c r="D39">
        <v>4</v>
      </c>
      <c r="E39" t="s">
        <v>230</v>
      </c>
      <c r="F39" t="s">
        <v>696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716</v>
      </c>
      <c r="B40" t="s">
        <v>32</v>
      </c>
      <c r="C40">
        <v>22</v>
      </c>
      <c r="D40">
        <v>1</v>
      </c>
      <c r="E40" t="s">
        <v>95</v>
      </c>
      <c r="F40" t="s">
        <v>696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717</v>
      </c>
      <c r="B41" t="s">
        <v>32</v>
      </c>
      <c r="C41">
        <v>28</v>
      </c>
      <c r="D41">
        <v>7</v>
      </c>
      <c r="E41" t="s">
        <v>718</v>
      </c>
      <c r="F41" t="s">
        <v>696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719</v>
      </c>
      <c r="B42" t="s">
        <v>32</v>
      </c>
      <c r="C42">
        <v>21</v>
      </c>
      <c r="D42">
        <v>0</v>
      </c>
      <c r="E42" t="s">
        <v>309</v>
      </c>
      <c r="F42" t="s">
        <v>696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720</v>
      </c>
      <c r="B43" t="s">
        <v>32</v>
      </c>
      <c r="C43">
        <v>25</v>
      </c>
      <c r="D43">
        <v>3</v>
      </c>
      <c r="E43" t="s">
        <v>558</v>
      </c>
      <c r="F43" t="s">
        <v>696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721</v>
      </c>
      <c r="B44" t="s">
        <v>32</v>
      </c>
      <c r="C44">
        <v>24</v>
      </c>
      <c r="D44">
        <v>0</v>
      </c>
      <c r="E44" t="s">
        <v>106</v>
      </c>
      <c r="F44" t="s">
        <v>696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722</v>
      </c>
      <c r="B45" t="s">
        <v>44</v>
      </c>
      <c r="C45">
        <v>23</v>
      </c>
      <c r="D45">
        <v>0</v>
      </c>
      <c r="E45" t="s">
        <v>723</v>
      </c>
      <c r="F45" t="s">
        <v>696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724</v>
      </c>
      <c r="B46" t="s">
        <v>44</v>
      </c>
      <c r="C46">
        <v>26</v>
      </c>
      <c r="D46">
        <v>1</v>
      </c>
      <c r="E46" t="s">
        <v>725</v>
      </c>
      <c r="F46" t="s">
        <v>696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726</v>
      </c>
      <c r="B47" t="s">
        <v>44</v>
      </c>
      <c r="C47">
        <v>23</v>
      </c>
      <c r="D47">
        <v>2</v>
      </c>
      <c r="E47" t="s">
        <v>727</v>
      </c>
      <c r="F47" t="s">
        <v>696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728</v>
      </c>
      <c r="B48" t="s">
        <v>44</v>
      </c>
      <c r="C48">
        <v>22</v>
      </c>
      <c r="D48">
        <v>0</v>
      </c>
      <c r="E48" t="s">
        <v>729</v>
      </c>
      <c r="F48" t="s">
        <v>696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730</v>
      </c>
      <c r="B49" t="s">
        <v>44</v>
      </c>
      <c r="C49">
        <v>23</v>
      </c>
      <c r="D49">
        <v>0</v>
      </c>
      <c r="E49" t="s">
        <v>239</v>
      </c>
      <c r="F49" t="s">
        <v>696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731</v>
      </c>
      <c r="B50" t="s">
        <v>44</v>
      </c>
      <c r="C50">
        <v>24</v>
      </c>
      <c r="D50">
        <v>1</v>
      </c>
      <c r="E50" t="s">
        <v>211</v>
      </c>
      <c r="F50" t="s">
        <v>696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732</v>
      </c>
      <c r="B51" t="s">
        <v>44</v>
      </c>
      <c r="C51">
        <v>23</v>
      </c>
      <c r="D51">
        <v>0</v>
      </c>
      <c r="E51" t="s">
        <v>733</v>
      </c>
      <c r="F51" t="s">
        <v>696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734</v>
      </c>
      <c r="B52" t="s">
        <v>44</v>
      </c>
      <c r="C52">
        <v>25</v>
      </c>
      <c r="D52">
        <v>2</v>
      </c>
      <c r="E52" t="s">
        <v>247</v>
      </c>
      <c r="F52" t="s">
        <v>696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735</v>
      </c>
      <c r="B53" t="s">
        <v>44</v>
      </c>
      <c r="C53">
        <v>24</v>
      </c>
      <c r="D53">
        <v>2</v>
      </c>
      <c r="E53" t="s">
        <v>556</v>
      </c>
      <c r="F53" t="s">
        <v>696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736</v>
      </c>
      <c r="B54" t="s">
        <v>44</v>
      </c>
      <c r="C54">
        <v>23</v>
      </c>
      <c r="D54">
        <v>0</v>
      </c>
      <c r="E54" t="s">
        <v>406</v>
      </c>
      <c r="F54" t="s">
        <v>696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737</v>
      </c>
      <c r="B55" t="s">
        <v>44</v>
      </c>
      <c r="C55">
        <v>22</v>
      </c>
      <c r="D55">
        <v>0</v>
      </c>
      <c r="E55" t="s">
        <v>412</v>
      </c>
      <c r="F55" t="s">
        <v>696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738</v>
      </c>
      <c r="B56" t="s">
        <v>39</v>
      </c>
      <c r="C56">
        <v>24</v>
      </c>
      <c r="D56">
        <v>1</v>
      </c>
      <c r="E56" t="s">
        <v>247</v>
      </c>
      <c r="F56" t="s">
        <v>696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739</v>
      </c>
      <c r="B57" t="s">
        <v>39</v>
      </c>
      <c r="C57">
        <v>26</v>
      </c>
      <c r="D57">
        <v>4</v>
      </c>
      <c r="E57" t="s">
        <v>457</v>
      </c>
      <c r="F57" t="s">
        <v>696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740</v>
      </c>
      <c r="B58" t="s">
        <v>39</v>
      </c>
      <c r="C58">
        <v>26</v>
      </c>
      <c r="D58">
        <v>4</v>
      </c>
      <c r="E58" t="s">
        <v>133</v>
      </c>
      <c r="F58" t="s">
        <v>696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741</v>
      </c>
      <c r="B59" t="s">
        <v>39</v>
      </c>
      <c r="C59">
        <v>22</v>
      </c>
      <c r="D59">
        <v>0</v>
      </c>
      <c r="E59" t="s">
        <v>742</v>
      </c>
      <c r="F59" t="s">
        <v>696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743</v>
      </c>
      <c r="B60" t="s">
        <v>39</v>
      </c>
      <c r="C60">
        <v>24</v>
      </c>
      <c r="D60">
        <v>0</v>
      </c>
      <c r="E60" t="s">
        <v>744</v>
      </c>
      <c r="F60" t="s">
        <v>696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745</v>
      </c>
      <c r="B61" t="s">
        <v>39</v>
      </c>
      <c r="C61">
        <v>22</v>
      </c>
      <c r="D61">
        <v>0</v>
      </c>
      <c r="E61" t="s">
        <v>108</v>
      </c>
      <c r="F61" t="s">
        <v>696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746</v>
      </c>
      <c r="B2" t="s">
        <v>747</v>
      </c>
      <c r="C2" t="s">
        <v>112</v>
      </c>
      <c r="D2">
        <v>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8</v>
      </c>
      <c r="N2">
        <v>5</v>
      </c>
      <c r="O2">
        <v>19</v>
      </c>
      <c r="P2">
        <v>0</v>
      </c>
      <c r="Q2">
        <v>0</v>
      </c>
      <c r="R2">
        <v>0</v>
      </c>
      <c r="S2">
        <v>6.9</v>
      </c>
      <c r="T2">
        <v>1.42095914742451E-2</v>
      </c>
      <c r="V2">
        <v>3.8</v>
      </c>
      <c r="Y2">
        <v>4.4000000000000004</v>
      </c>
    </row>
    <row r="3" spans="1:25" x14ac:dyDescent="0.2">
      <c r="A3" t="s">
        <v>748</v>
      </c>
      <c r="B3" t="s">
        <v>747</v>
      </c>
      <c r="C3" t="s">
        <v>27</v>
      </c>
      <c r="D3">
        <v>15</v>
      </c>
      <c r="E3">
        <v>479</v>
      </c>
      <c r="F3">
        <v>292</v>
      </c>
      <c r="G3">
        <v>3118</v>
      </c>
      <c r="H3">
        <v>17</v>
      </c>
      <c r="I3">
        <v>15</v>
      </c>
      <c r="J3">
        <v>32</v>
      </c>
      <c r="K3">
        <v>108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1</v>
      </c>
      <c r="S3">
        <v>181.52</v>
      </c>
      <c r="T3">
        <v>0</v>
      </c>
      <c r="U3">
        <v>3.375</v>
      </c>
      <c r="W3">
        <v>0.60960334029227603</v>
      </c>
      <c r="X3">
        <v>3.54906054279749E-2</v>
      </c>
      <c r="Y3">
        <v>196.52</v>
      </c>
    </row>
    <row r="4" spans="1:25" x14ac:dyDescent="0.2">
      <c r="A4" t="s">
        <v>749</v>
      </c>
      <c r="B4" t="s">
        <v>747</v>
      </c>
      <c r="C4" t="s">
        <v>27</v>
      </c>
      <c r="D4">
        <v>7</v>
      </c>
      <c r="E4">
        <v>20</v>
      </c>
      <c r="F4">
        <v>14</v>
      </c>
      <c r="G4">
        <v>108</v>
      </c>
      <c r="H4">
        <v>1</v>
      </c>
      <c r="I4">
        <v>0</v>
      </c>
      <c r="J4">
        <v>20</v>
      </c>
      <c r="K4">
        <v>75</v>
      </c>
      <c r="L4">
        <v>0</v>
      </c>
      <c r="M4">
        <v>1</v>
      </c>
      <c r="N4">
        <v>1</v>
      </c>
      <c r="O4">
        <v>4</v>
      </c>
      <c r="P4">
        <v>0</v>
      </c>
      <c r="Q4">
        <v>0</v>
      </c>
      <c r="R4">
        <v>0</v>
      </c>
      <c r="S4">
        <v>17.22</v>
      </c>
      <c r="T4">
        <v>1.7761989342806399E-3</v>
      </c>
      <c r="U4">
        <v>3.75</v>
      </c>
      <c r="V4">
        <v>4</v>
      </c>
      <c r="W4">
        <v>0.7</v>
      </c>
      <c r="X4">
        <v>0.05</v>
      </c>
      <c r="Y4">
        <v>15.82</v>
      </c>
    </row>
    <row r="5" spans="1:25" x14ac:dyDescent="0.2">
      <c r="A5" t="s">
        <v>750</v>
      </c>
      <c r="B5" t="s">
        <v>747</v>
      </c>
      <c r="C5" t="s">
        <v>27</v>
      </c>
      <c r="D5">
        <v>2</v>
      </c>
      <c r="E5">
        <v>78</v>
      </c>
      <c r="F5">
        <v>46</v>
      </c>
      <c r="G5">
        <v>416</v>
      </c>
      <c r="H5">
        <v>2</v>
      </c>
      <c r="I5">
        <v>4</v>
      </c>
      <c r="J5">
        <v>6</v>
      </c>
      <c r="K5">
        <v>13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15.94</v>
      </c>
      <c r="T5">
        <v>0</v>
      </c>
      <c r="U5">
        <v>2.1666666666666701</v>
      </c>
      <c r="W5">
        <v>0.58974358974358998</v>
      </c>
      <c r="X5">
        <v>2.5641025641025599E-2</v>
      </c>
      <c r="Y5">
        <v>19.940000000000001</v>
      </c>
    </row>
    <row r="6" spans="1:25" x14ac:dyDescent="0.2">
      <c r="A6" t="s">
        <v>751</v>
      </c>
      <c r="B6" t="s">
        <v>747</v>
      </c>
      <c r="C6" t="s">
        <v>32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123</v>
      </c>
      <c r="L6">
        <v>1</v>
      </c>
      <c r="M6">
        <v>26</v>
      </c>
      <c r="N6">
        <v>20</v>
      </c>
      <c r="O6">
        <v>104</v>
      </c>
      <c r="P6">
        <v>0</v>
      </c>
      <c r="Q6">
        <v>0</v>
      </c>
      <c r="R6">
        <v>0</v>
      </c>
      <c r="S6">
        <v>48.7</v>
      </c>
      <c r="T6">
        <v>4.6181172291296597E-2</v>
      </c>
      <c r="U6">
        <v>2.9285714285714302</v>
      </c>
      <c r="V6">
        <v>5.2</v>
      </c>
      <c r="Y6">
        <v>38.700000000000003</v>
      </c>
    </row>
    <row r="7" spans="1:25" x14ac:dyDescent="0.2">
      <c r="A7" t="s">
        <v>752</v>
      </c>
      <c r="B7" t="s">
        <v>747</v>
      </c>
      <c r="C7" t="s">
        <v>32</v>
      </c>
      <c r="D7">
        <v>13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939</v>
      </c>
      <c r="L7">
        <v>4</v>
      </c>
      <c r="M7">
        <v>39</v>
      </c>
      <c r="N7">
        <v>30</v>
      </c>
      <c r="O7">
        <v>165</v>
      </c>
      <c r="P7">
        <v>1</v>
      </c>
      <c r="Q7">
        <v>2</v>
      </c>
      <c r="R7">
        <v>0</v>
      </c>
      <c r="S7">
        <v>166.4</v>
      </c>
      <c r="T7">
        <v>6.92717584369449E-2</v>
      </c>
      <c r="U7">
        <v>4.2681818181818203</v>
      </c>
      <c r="V7">
        <v>5.5</v>
      </c>
      <c r="Y7">
        <v>151.4</v>
      </c>
    </row>
    <row r="8" spans="1:25" x14ac:dyDescent="0.2">
      <c r="A8" t="s">
        <v>34</v>
      </c>
      <c r="B8" t="s">
        <v>747</v>
      </c>
      <c r="C8" t="s">
        <v>32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3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</v>
      </c>
      <c r="T8">
        <v>0</v>
      </c>
      <c r="U8">
        <v>0.33333333333333298</v>
      </c>
      <c r="Y8">
        <v>0.1</v>
      </c>
    </row>
    <row r="9" spans="1:25" x14ac:dyDescent="0.2">
      <c r="A9" t="s">
        <v>753</v>
      </c>
      <c r="B9" t="s">
        <v>747</v>
      </c>
      <c r="C9" t="s">
        <v>32</v>
      </c>
      <c r="D9">
        <v>15</v>
      </c>
      <c r="E9">
        <v>1</v>
      </c>
      <c r="F9">
        <v>0</v>
      </c>
      <c r="G9">
        <v>0</v>
      </c>
      <c r="H9">
        <v>0</v>
      </c>
      <c r="I9">
        <v>0</v>
      </c>
      <c r="J9">
        <v>26</v>
      </c>
      <c r="K9">
        <v>80</v>
      </c>
      <c r="L9">
        <v>0</v>
      </c>
      <c r="M9">
        <v>51</v>
      </c>
      <c r="N9">
        <v>37</v>
      </c>
      <c r="O9">
        <v>204</v>
      </c>
      <c r="P9">
        <v>1</v>
      </c>
      <c r="Q9">
        <v>0</v>
      </c>
      <c r="R9">
        <v>0</v>
      </c>
      <c r="S9">
        <v>71.400000000000006</v>
      </c>
      <c r="T9">
        <v>9.0586145648312605E-2</v>
      </c>
      <c r="U9">
        <v>3.0769230769230802</v>
      </c>
      <c r="V9">
        <v>5.5135135135135096</v>
      </c>
      <c r="W9">
        <v>0</v>
      </c>
      <c r="X9">
        <v>0</v>
      </c>
      <c r="Y9">
        <v>52.9</v>
      </c>
    </row>
    <row r="10" spans="1:25" x14ac:dyDescent="0.2">
      <c r="A10" t="s">
        <v>754</v>
      </c>
      <c r="B10" t="s">
        <v>747</v>
      </c>
      <c r="C10" t="s">
        <v>32</v>
      </c>
      <c r="D10">
        <v>4</v>
      </c>
      <c r="E10">
        <v>0</v>
      </c>
      <c r="F10">
        <v>0</v>
      </c>
      <c r="G10">
        <v>0</v>
      </c>
      <c r="H10">
        <v>0</v>
      </c>
      <c r="I10">
        <v>0</v>
      </c>
      <c r="J10">
        <v>41</v>
      </c>
      <c r="K10">
        <v>117</v>
      </c>
      <c r="L10">
        <v>0</v>
      </c>
      <c r="M10">
        <v>8</v>
      </c>
      <c r="N10">
        <v>6</v>
      </c>
      <c r="O10">
        <v>33</v>
      </c>
      <c r="P10">
        <v>0</v>
      </c>
      <c r="Q10">
        <v>1</v>
      </c>
      <c r="R10">
        <v>0</v>
      </c>
      <c r="S10">
        <v>19</v>
      </c>
      <c r="T10">
        <v>1.42095914742451E-2</v>
      </c>
      <c r="U10">
        <v>2.8536585365853702</v>
      </c>
      <c r="V10">
        <v>5.5</v>
      </c>
      <c r="Y10">
        <v>16</v>
      </c>
    </row>
    <row r="11" spans="1:25" x14ac:dyDescent="0.2">
      <c r="A11" t="s">
        <v>755</v>
      </c>
      <c r="B11" t="s">
        <v>747</v>
      </c>
      <c r="C11" t="s">
        <v>39</v>
      </c>
      <c r="D11">
        <v>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28</v>
      </c>
      <c r="N11">
        <v>14</v>
      </c>
      <c r="O11">
        <v>128</v>
      </c>
      <c r="P11">
        <v>0</v>
      </c>
      <c r="Q11">
        <v>0</v>
      </c>
      <c r="R11">
        <v>0</v>
      </c>
      <c r="S11">
        <v>26.8</v>
      </c>
      <c r="T11">
        <v>4.9733570159857902E-2</v>
      </c>
      <c r="V11">
        <v>9.1428571428571406</v>
      </c>
      <c r="Y11">
        <v>19.8</v>
      </c>
    </row>
    <row r="12" spans="1:25" x14ac:dyDescent="0.2">
      <c r="A12" t="s">
        <v>756</v>
      </c>
      <c r="B12" t="s">
        <v>747</v>
      </c>
      <c r="C12" t="s">
        <v>39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54</v>
      </c>
      <c r="N12">
        <v>37</v>
      </c>
      <c r="O12">
        <v>495</v>
      </c>
      <c r="P12">
        <v>5</v>
      </c>
      <c r="Q12">
        <v>0</v>
      </c>
      <c r="R12">
        <v>0</v>
      </c>
      <c r="S12">
        <v>116.5</v>
      </c>
      <c r="T12">
        <v>9.59147424511545E-2</v>
      </c>
      <c r="V12">
        <v>13.3783783783784</v>
      </c>
      <c r="Y12">
        <v>98</v>
      </c>
    </row>
    <row r="13" spans="1:25" x14ac:dyDescent="0.2">
      <c r="A13" t="s">
        <v>757</v>
      </c>
      <c r="B13" t="s">
        <v>747</v>
      </c>
      <c r="C13" t="s">
        <v>39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2</v>
      </c>
      <c r="O13">
        <v>6</v>
      </c>
      <c r="P13">
        <v>0</v>
      </c>
      <c r="Q13">
        <v>0</v>
      </c>
      <c r="R13">
        <v>0</v>
      </c>
      <c r="S13">
        <v>2.6</v>
      </c>
      <c r="T13">
        <v>3.5523978685612799E-3</v>
      </c>
      <c r="V13">
        <v>3</v>
      </c>
      <c r="Y13">
        <v>1.6</v>
      </c>
    </row>
    <row r="14" spans="1:25" x14ac:dyDescent="0.2">
      <c r="A14" t="s">
        <v>758</v>
      </c>
      <c r="B14" t="s">
        <v>747</v>
      </c>
      <c r="C14" t="s">
        <v>39</v>
      </c>
      <c r="D14">
        <v>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23</v>
      </c>
      <c r="N14">
        <v>10</v>
      </c>
      <c r="O14">
        <v>145</v>
      </c>
      <c r="P14">
        <v>2</v>
      </c>
      <c r="Q14">
        <v>0</v>
      </c>
      <c r="R14">
        <v>0</v>
      </c>
      <c r="S14">
        <v>36.5</v>
      </c>
      <c r="T14">
        <v>4.0852575488454702E-2</v>
      </c>
      <c r="V14">
        <v>14.5</v>
      </c>
      <c r="Y14">
        <v>31.5</v>
      </c>
    </row>
    <row r="15" spans="1:25" x14ac:dyDescent="0.2">
      <c r="A15" t="s">
        <v>490</v>
      </c>
      <c r="B15" t="s">
        <v>747</v>
      </c>
      <c r="C15" t="s">
        <v>39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10</v>
      </c>
      <c r="N15">
        <v>7</v>
      </c>
      <c r="O15">
        <v>72</v>
      </c>
      <c r="P15">
        <v>0</v>
      </c>
      <c r="Q15">
        <v>0</v>
      </c>
      <c r="R15">
        <v>0</v>
      </c>
      <c r="S15">
        <v>14.2</v>
      </c>
      <c r="T15">
        <v>1.77619893428064E-2</v>
      </c>
      <c r="V15">
        <v>10.285714285714301</v>
      </c>
      <c r="Y15">
        <v>10.7</v>
      </c>
    </row>
    <row r="16" spans="1:25" x14ac:dyDescent="0.2">
      <c r="A16" t="s">
        <v>759</v>
      </c>
      <c r="B16" t="s">
        <v>747</v>
      </c>
      <c r="C16" t="s">
        <v>39</v>
      </c>
      <c r="D16">
        <v>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14</v>
      </c>
      <c r="N16">
        <v>7</v>
      </c>
      <c r="O16">
        <v>113</v>
      </c>
      <c r="P16">
        <v>2</v>
      </c>
      <c r="Q16">
        <v>0</v>
      </c>
      <c r="R16">
        <v>0</v>
      </c>
      <c r="S16">
        <v>30.3</v>
      </c>
      <c r="T16">
        <v>2.4866785079929E-2</v>
      </c>
      <c r="V16">
        <v>16.1428571428571</v>
      </c>
      <c r="Y16">
        <v>26.8</v>
      </c>
    </row>
    <row r="17" spans="1:25" x14ac:dyDescent="0.2">
      <c r="A17" t="s">
        <v>695</v>
      </c>
      <c r="B17" t="s">
        <v>747</v>
      </c>
      <c r="C17" t="s">
        <v>44</v>
      </c>
      <c r="D17">
        <v>5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7</v>
      </c>
      <c r="L17">
        <v>0</v>
      </c>
      <c r="M17">
        <v>17</v>
      </c>
      <c r="N17">
        <v>12</v>
      </c>
      <c r="O17">
        <v>154</v>
      </c>
      <c r="P17">
        <v>1</v>
      </c>
      <c r="Q17">
        <v>0</v>
      </c>
      <c r="R17">
        <v>0</v>
      </c>
      <c r="S17">
        <v>34.1</v>
      </c>
      <c r="T17">
        <v>3.0195381882770898E-2</v>
      </c>
      <c r="U17">
        <v>3.5</v>
      </c>
      <c r="V17">
        <v>12.8333333333333</v>
      </c>
      <c r="Y17">
        <v>28.1</v>
      </c>
    </row>
    <row r="18" spans="1:25" x14ac:dyDescent="0.2">
      <c r="A18" t="s">
        <v>760</v>
      </c>
      <c r="B18" t="s">
        <v>747</v>
      </c>
      <c r="C18" t="s">
        <v>44</v>
      </c>
      <c r="D18"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7</v>
      </c>
      <c r="L18">
        <v>0</v>
      </c>
      <c r="M18">
        <v>93</v>
      </c>
      <c r="N18">
        <v>57</v>
      </c>
      <c r="O18">
        <v>699</v>
      </c>
      <c r="P18">
        <v>3</v>
      </c>
      <c r="Q18">
        <v>0</v>
      </c>
      <c r="R18">
        <v>0</v>
      </c>
      <c r="S18">
        <v>145.6</v>
      </c>
      <c r="T18">
        <v>0.165186500888099</v>
      </c>
      <c r="U18">
        <v>3.5</v>
      </c>
      <c r="V18">
        <v>12.2631578947368</v>
      </c>
      <c r="Y18">
        <v>117.1</v>
      </c>
    </row>
    <row r="19" spans="1:25" x14ac:dyDescent="0.2">
      <c r="A19" t="s">
        <v>761</v>
      </c>
      <c r="B19" t="s">
        <v>747</v>
      </c>
      <c r="C19" t="s">
        <v>44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3.5523978685612799E-3</v>
      </c>
      <c r="Y19">
        <v>0</v>
      </c>
    </row>
    <row r="20" spans="1:25" x14ac:dyDescent="0.2">
      <c r="A20" t="s">
        <v>762</v>
      </c>
      <c r="B20" t="s">
        <v>747</v>
      </c>
      <c r="C20" t="s">
        <v>44</v>
      </c>
      <c r="D20"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3</v>
      </c>
      <c r="K20">
        <v>3</v>
      </c>
      <c r="L20">
        <v>0</v>
      </c>
      <c r="M20">
        <v>74</v>
      </c>
      <c r="N20">
        <v>48</v>
      </c>
      <c r="O20">
        <v>548</v>
      </c>
      <c r="P20">
        <v>2</v>
      </c>
      <c r="Q20">
        <v>0</v>
      </c>
      <c r="R20">
        <v>0</v>
      </c>
      <c r="S20">
        <v>115.1</v>
      </c>
      <c r="T20">
        <v>0.13143872113676699</v>
      </c>
      <c r="U20">
        <v>1</v>
      </c>
      <c r="V20">
        <v>11.4166666666667</v>
      </c>
      <c r="Y20">
        <v>91.1</v>
      </c>
    </row>
    <row r="21" spans="1:25" x14ac:dyDescent="0.2">
      <c r="A21" t="s">
        <v>763</v>
      </c>
      <c r="B21" t="s">
        <v>747</v>
      </c>
      <c r="C21" t="s">
        <v>44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7</v>
      </c>
      <c r="P21">
        <v>0</v>
      </c>
      <c r="Q21">
        <v>0</v>
      </c>
      <c r="R21">
        <v>0</v>
      </c>
      <c r="S21">
        <v>1.7</v>
      </c>
      <c r="T21">
        <v>1.7761989342806399E-3</v>
      </c>
      <c r="V21">
        <v>7</v>
      </c>
      <c r="Y21">
        <v>1.2</v>
      </c>
    </row>
    <row r="22" spans="1:25" x14ac:dyDescent="0.2">
      <c r="A22" t="s">
        <v>764</v>
      </c>
      <c r="B22" t="s">
        <v>747</v>
      </c>
      <c r="C22" t="s">
        <v>44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66</v>
      </c>
      <c r="N22">
        <v>37</v>
      </c>
      <c r="O22">
        <v>481</v>
      </c>
      <c r="P22">
        <v>2</v>
      </c>
      <c r="Q22">
        <v>0</v>
      </c>
      <c r="R22">
        <v>0</v>
      </c>
      <c r="S22">
        <v>97.1</v>
      </c>
      <c r="T22">
        <v>0.117229129662522</v>
      </c>
      <c r="V22">
        <v>13</v>
      </c>
      <c r="Y22">
        <v>78.599999999999994</v>
      </c>
    </row>
    <row r="23" spans="1:25" x14ac:dyDescent="0.2">
      <c r="A23" t="s">
        <v>765</v>
      </c>
      <c r="B23" t="s">
        <v>747</v>
      </c>
      <c r="C23" t="s">
        <v>44</v>
      </c>
      <c r="D23">
        <v>14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40</v>
      </c>
      <c r="N23">
        <v>20</v>
      </c>
      <c r="O23">
        <v>257</v>
      </c>
      <c r="P23">
        <v>1</v>
      </c>
      <c r="Q23">
        <v>0</v>
      </c>
      <c r="R23">
        <v>0</v>
      </c>
      <c r="S23">
        <v>51.7</v>
      </c>
      <c r="T23">
        <v>7.1047957371225601E-2</v>
      </c>
      <c r="V23">
        <v>12.85</v>
      </c>
      <c r="W23">
        <v>0</v>
      </c>
      <c r="X23">
        <v>0</v>
      </c>
      <c r="Y23">
        <v>41.7</v>
      </c>
    </row>
    <row r="24" spans="1:25" x14ac:dyDescent="0.2">
      <c r="A24" t="s">
        <v>766</v>
      </c>
      <c r="B24" t="s">
        <v>747</v>
      </c>
      <c r="C24" t="s">
        <v>44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1</v>
      </c>
      <c r="O24">
        <v>8</v>
      </c>
      <c r="P24">
        <v>0</v>
      </c>
      <c r="Q24">
        <v>0</v>
      </c>
      <c r="R24">
        <v>0</v>
      </c>
      <c r="S24">
        <v>1.8</v>
      </c>
      <c r="T24">
        <v>1.7761989342806399E-3</v>
      </c>
      <c r="V24">
        <v>8</v>
      </c>
      <c r="Y24">
        <v>1.3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747</v>
      </c>
      <c r="B31">
        <v>5115</v>
      </c>
      <c r="C31">
        <v>3642</v>
      </c>
      <c r="D31">
        <v>397</v>
      </c>
      <c r="E31">
        <v>1473</v>
      </c>
      <c r="F31">
        <v>7</v>
      </c>
      <c r="G31">
        <v>1201.18</v>
      </c>
      <c r="H31">
        <v>579</v>
      </c>
      <c r="I31">
        <v>0.60794473229706403</v>
      </c>
      <c r="J31">
        <v>20</v>
      </c>
      <c r="K31">
        <v>19</v>
      </c>
      <c r="L31">
        <v>7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767</v>
      </c>
      <c r="B36" t="s">
        <v>27</v>
      </c>
      <c r="C36">
        <v>35</v>
      </c>
      <c r="D36">
        <v>11</v>
      </c>
      <c r="E36" t="s">
        <v>71</v>
      </c>
      <c r="F36" t="s">
        <v>747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768</v>
      </c>
      <c r="B37" t="s">
        <v>27</v>
      </c>
      <c r="C37">
        <v>24</v>
      </c>
      <c r="D37">
        <v>3</v>
      </c>
      <c r="E37" t="s">
        <v>97</v>
      </c>
      <c r="F37" t="s">
        <v>747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769</v>
      </c>
      <c r="B38" t="s">
        <v>27</v>
      </c>
      <c r="C38">
        <v>21</v>
      </c>
      <c r="D38">
        <v>0</v>
      </c>
      <c r="E38" t="s">
        <v>209</v>
      </c>
      <c r="F38" t="s">
        <v>747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770</v>
      </c>
      <c r="B39" t="s">
        <v>32</v>
      </c>
      <c r="C39">
        <v>28</v>
      </c>
      <c r="D39">
        <v>6</v>
      </c>
      <c r="E39" t="s">
        <v>133</v>
      </c>
      <c r="F39" t="s">
        <v>747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771</v>
      </c>
      <c r="B40" t="s">
        <v>32</v>
      </c>
      <c r="C40">
        <v>25</v>
      </c>
      <c r="D40">
        <v>1</v>
      </c>
      <c r="E40" t="s">
        <v>133</v>
      </c>
      <c r="F40" t="s">
        <v>747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772</v>
      </c>
      <c r="B41" t="s">
        <v>32</v>
      </c>
      <c r="C41">
        <v>29</v>
      </c>
      <c r="D41">
        <v>5</v>
      </c>
      <c r="E41" t="s">
        <v>73</v>
      </c>
      <c r="F41" t="s">
        <v>747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773</v>
      </c>
      <c r="B42" t="s">
        <v>32</v>
      </c>
      <c r="C42">
        <v>23</v>
      </c>
      <c r="D42">
        <v>2</v>
      </c>
      <c r="E42" t="s">
        <v>176</v>
      </c>
      <c r="F42" t="s">
        <v>747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774</v>
      </c>
      <c r="B43" t="s">
        <v>32</v>
      </c>
      <c r="C43">
        <v>25</v>
      </c>
      <c r="D43">
        <v>5</v>
      </c>
      <c r="E43" t="s">
        <v>525</v>
      </c>
      <c r="F43" t="s">
        <v>747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775</v>
      </c>
      <c r="B44" t="s">
        <v>32</v>
      </c>
      <c r="C44">
        <v>25</v>
      </c>
      <c r="D44">
        <v>0</v>
      </c>
      <c r="E44" t="s">
        <v>155</v>
      </c>
      <c r="F44" t="s">
        <v>747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776</v>
      </c>
      <c r="B45" t="s">
        <v>44</v>
      </c>
      <c r="C45">
        <v>27</v>
      </c>
      <c r="D45">
        <v>1</v>
      </c>
      <c r="E45" t="s">
        <v>90</v>
      </c>
      <c r="F45" t="s">
        <v>747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777</v>
      </c>
      <c r="B46" t="s">
        <v>44</v>
      </c>
      <c r="C46">
        <v>27</v>
      </c>
      <c r="D46">
        <v>7</v>
      </c>
      <c r="E46" t="s">
        <v>209</v>
      </c>
      <c r="F46" t="s">
        <v>747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778</v>
      </c>
      <c r="B47" t="s">
        <v>44</v>
      </c>
      <c r="C47">
        <v>25</v>
      </c>
      <c r="D47">
        <v>1</v>
      </c>
      <c r="E47" t="s">
        <v>457</v>
      </c>
      <c r="F47" t="s">
        <v>747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779</v>
      </c>
      <c r="B48" t="s">
        <v>44</v>
      </c>
      <c r="C48">
        <v>24</v>
      </c>
      <c r="D48">
        <v>3</v>
      </c>
      <c r="E48" t="s">
        <v>100</v>
      </c>
      <c r="F48" t="s">
        <v>747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780</v>
      </c>
      <c r="B49" t="s">
        <v>44</v>
      </c>
      <c r="C49">
        <v>23</v>
      </c>
      <c r="D49">
        <v>0</v>
      </c>
      <c r="E49" t="s">
        <v>71</v>
      </c>
      <c r="F49" t="s">
        <v>747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781</v>
      </c>
      <c r="B50" t="s">
        <v>44</v>
      </c>
      <c r="C50">
        <v>23</v>
      </c>
      <c r="D50">
        <v>0</v>
      </c>
      <c r="E50" t="s">
        <v>243</v>
      </c>
      <c r="F50" t="s">
        <v>747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782</v>
      </c>
      <c r="B51" t="s">
        <v>44</v>
      </c>
      <c r="C51">
        <v>24</v>
      </c>
      <c r="D51">
        <v>1</v>
      </c>
      <c r="E51" t="s">
        <v>201</v>
      </c>
      <c r="F51" t="s">
        <v>747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783</v>
      </c>
      <c r="B52" t="s">
        <v>44</v>
      </c>
      <c r="C52">
        <v>23</v>
      </c>
      <c r="D52">
        <v>0</v>
      </c>
      <c r="E52" t="s">
        <v>666</v>
      </c>
      <c r="F52" t="s">
        <v>747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784</v>
      </c>
      <c r="B53" t="s">
        <v>44</v>
      </c>
      <c r="C53">
        <v>22</v>
      </c>
      <c r="D53">
        <v>1</v>
      </c>
      <c r="E53" t="s">
        <v>153</v>
      </c>
      <c r="F53" t="s">
        <v>747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785</v>
      </c>
      <c r="B54" t="s">
        <v>44</v>
      </c>
      <c r="C54">
        <v>23</v>
      </c>
      <c r="D54">
        <v>3</v>
      </c>
      <c r="E54" t="s">
        <v>460</v>
      </c>
      <c r="F54" t="s">
        <v>747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786</v>
      </c>
      <c r="B55" t="s">
        <v>44</v>
      </c>
      <c r="C55">
        <v>26</v>
      </c>
      <c r="D55">
        <v>4</v>
      </c>
      <c r="E55" t="s">
        <v>469</v>
      </c>
      <c r="F55" t="s">
        <v>747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787</v>
      </c>
      <c r="B56" t="s">
        <v>44</v>
      </c>
      <c r="C56">
        <v>22</v>
      </c>
      <c r="D56">
        <v>0</v>
      </c>
      <c r="E56" t="s">
        <v>75</v>
      </c>
      <c r="F56" t="s">
        <v>747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788</v>
      </c>
      <c r="B57" t="s">
        <v>44</v>
      </c>
      <c r="C57">
        <v>31</v>
      </c>
      <c r="D57">
        <v>11</v>
      </c>
      <c r="E57" t="s">
        <v>79</v>
      </c>
      <c r="F57" t="s">
        <v>747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789</v>
      </c>
      <c r="B58" t="s">
        <v>39</v>
      </c>
      <c r="C58">
        <v>22</v>
      </c>
      <c r="D58">
        <v>3</v>
      </c>
      <c r="E58" t="s">
        <v>398</v>
      </c>
      <c r="F58" t="s">
        <v>747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790</v>
      </c>
      <c r="B59" t="s">
        <v>39</v>
      </c>
      <c r="C59">
        <v>23</v>
      </c>
      <c r="D59">
        <v>0</v>
      </c>
      <c r="E59" t="s">
        <v>791</v>
      </c>
      <c r="F59" t="s">
        <v>747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792</v>
      </c>
      <c r="B60" t="s">
        <v>39</v>
      </c>
      <c r="C60">
        <v>23</v>
      </c>
      <c r="D60">
        <v>2</v>
      </c>
      <c r="E60" t="s">
        <v>108</v>
      </c>
      <c r="F60" t="s">
        <v>747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793</v>
      </c>
      <c r="B61" t="s">
        <v>39</v>
      </c>
      <c r="C61">
        <v>29</v>
      </c>
      <c r="D61">
        <v>4</v>
      </c>
      <c r="E61" t="s">
        <v>794</v>
      </c>
      <c r="F61" t="s">
        <v>747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795</v>
      </c>
      <c r="B62" t="s">
        <v>39</v>
      </c>
      <c r="C62">
        <v>27</v>
      </c>
      <c r="D62">
        <v>6</v>
      </c>
      <c r="E62" t="s">
        <v>97</v>
      </c>
      <c r="F62" t="s">
        <v>747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B64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796</v>
      </c>
      <c r="B2" t="s">
        <v>797</v>
      </c>
      <c r="C2" t="s">
        <v>27</v>
      </c>
      <c r="D2">
        <v>12</v>
      </c>
      <c r="E2">
        <v>461</v>
      </c>
      <c r="F2">
        <v>309</v>
      </c>
      <c r="G2">
        <v>3057</v>
      </c>
      <c r="H2">
        <v>14</v>
      </c>
      <c r="I2">
        <v>13</v>
      </c>
      <c r="J2">
        <v>27</v>
      </c>
      <c r="K2">
        <v>70</v>
      </c>
      <c r="L2">
        <v>1</v>
      </c>
      <c r="M2">
        <v>0</v>
      </c>
      <c r="N2">
        <v>0</v>
      </c>
      <c r="O2">
        <v>0</v>
      </c>
      <c r="P2">
        <v>0</v>
      </c>
      <c r="Q2">
        <v>5</v>
      </c>
      <c r="R2">
        <v>0</v>
      </c>
      <c r="S2">
        <v>155.28</v>
      </c>
      <c r="T2">
        <v>0</v>
      </c>
      <c r="U2">
        <v>2.5925925925925899</v>
      </c>
      <c r="W2">
        <v>0.67028199566160496</v>
      </c>
      <c r="X2">
        <v>3.0368763557483702E-2</v>
      </c>
      <c r="Y2">
        <v>168.28</v>
      </c>
    </row>
    <row r="3" spans="1:25" x14ac:dyDescent="0.2">
      <c r="A3" t="s">
        <v>798</v>
      </c>
      <c r="B3" t="s">
        <v>797</v>
      </c>
      <c r="C3" t="s">
        <v>27</v>
      </c>
      <c r="D3">
        <v>2</v>
      </c>
      <c r="E3">
        <v>42</v>
      </c>
      <c r="F3">
        <v>25</v>
      </c>
      <c r="G3">
        <v>224</v>
      </c>
      <c r="H3">
        <v>0</v>
      </c>
      <c r="I3">
        <v>4</v>
      </c>
      <c r="J3">
        <v>2</v>
      </c>
      <c r="K3">
        <v>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1.76</v>
      </c>
      <c r="T3">
        <v>0</v>
      </c>
      <c r="U3">
        <v>4</v>
      </c>
      <c r="W3">
        <v>0.59523809523809501</v>
      </c>
      <c r="X3">
        <v>0</v>
      </c>
      <c r="Y3">
        <v>5.76</v>
      </c>
    </row>
    <row r="4" spans="1:25" x14ac:dyDescent="0.2">
      <c r="A4" t="s">
        <v>799</v>
      </c>
      <c r="B4" t="s">
        <v>797</v>
      </c>
      <c r="C4" t="s">
        <v>27</v>
      </c>
      <c r="D4">
        <v>4</v>
      </c>
      <c r="E4">
        <v>101</v>
      </c>
      <c r="F4">
        <v>64</v>
      </c>
      <c r="G4">
        <v>573</v>
      </c>
      <c r="H4">
        <v>3</v>
      </c>
      <c r="I4">
        <v>3</v>
      </c>
      <c r="J4">
        <v>17</v>
      </c>
      <c r="K4">
        <v>87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35.619999999999997</v>
      </c>
      <c r="T4">
        <v>0</v>
      </c>
      <c r="U4">
        <v>5.1176470588235299</v>
      </c>
      <c r="W4">
        <v>0.633663366336634</v>
      </c>
      <c r="X4">
        <v>2.9702970297029702E-2</v>
      </c>
      <c r="Y4">
        <v>38.619999999999997</v>
      </c>
    </row>
    <row r="5" spans="1:25" x14ac:dyDescent="0.2">
      <c r="A5" t="s">
        <v>194</v>
      </c>
      <c r="B5" t="s">
        <v>797</v>
      </c>
      <c r="C5" t="s">
        <v>32</v>
      </c>
      <c r="D5">
        <v>12</v>
      </c>
      <c r="E5">
        <v>0</v>
      </c>
      <c r="F5">
        <v>0</v>
      </c>
      <c r="G5">
        <v>0</v>
      </c>
      <c r="H5">
        <v>0</v>
      </c>
      <c r="I5">
        <v>0</v>
      </c>
      <c r="J5">
        <v>68</v>
      </c>
      <c r="K5">
        <v>236</v>
      </c>
      <c r="L5">
        <v>1</v>
      </c>
      <c r="M5">
        <v>34</v>
      </c>
      <c r="N5">
        <v>30</v>
      </c>
      <c r="O5">
        <v>209</v>
      </c>
      <c r="P5">
        <v>1</v>
      </c>
      <c r="Q5">
        <v>1</v>
      </c>
      <c r="R5">
        <v>0</v>
      </c>
      <c r="S5">
        <v>84.5</v>
      </c>
      <c r="T5">
        <v>5.8721934369602803E-2</v>
      </c>
      <c r="U5">
        <v>3.47058823529412</v>
      </c>
      <c r="V5">
        <v>6.9666666666666703</v>
      </c>
      <c r="Y5">
        <v>69.5</v>
      </c>
    </row>
    <row r="6" spans="1:25" x14ac:dyDescent="0.2">
      <c r="A6" t="s">
        <v>800</v>
      </c>
      <c r="B6" t="s">
        <v>797</v>
      </c>
      <c r="C6" t="s">
        <v>32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192</v>
      </c>
      <c r="K6">
        <v>861</v>
      </c>
      <c r="L6">
        <v>4</v>
      </c>
      <c r="M6">
        <v>40</v>
      </c>
      <c r="N6">
        <v>28</v>
      </c>
      <c r="O6">
        <v>143</v>
      </c>
      <c r="P6">
        <v>0</v>
      </c>
      <c r="Q6">
        <v>3</v>
      </c>
      <c r="R6">
        <v>0</v>
      </c>
      <c r="S6">
        <v>146.4</v>
      </c>
      <c r="T6">
        <v>6.9084628670120898E-2</v>
      </c>
      <c r="U6">
        <v>4.484375</v>
      </c>
      <c r="V6">
        <v>5.1071428571428603</v>
      </c>
      <c r="Y6">
        <v>132.4</v>
      </c>
    </row>
    <row r="7" spans="1:25" x14ac:dyDescent="0.2">
      <c r="A7" t="s">
        <v>801</v>
      </c>
      <c r="B7" t="s">
        <v>797</v>
      </c>
      <c r="C7" t="s">
        <v>32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58</v>
      </c>
      <c r="L7">
        <v>0</v>
      </c>
      <c r="M7">
        <v>8</v>
      </c>
      <c r="N7">
        <v>6</v>
      </c>
      <c r="O7">
        <v>29</v>
      </c>
      <c r="P7">
        <v>0</v>
      </c>
      <c r="Q7">
        <v>0</v>
      </c>
      <c r="R7">
        <v>0</v>
      </c>
      <c r="S7">
        <v>14.7</v>
      </c>
      <c r="T7">
        <v>1.38169257340242E-2</v>
      </c>
      <c r="U7">
        <v>4.4615384615384599</v>
      </c>
      <c r="V7">
        <v>4.8333333333333304</v>
      </c>
      <c r="Y7">
        <v>11.7</v>
      </c>
    </row>
    <row r="8" spans="1:25" x14ac:dyDescent="0.2">
      <c r="A8" t="s">
        <v>255</v>
      </c>
      <c r="B8" t="s">
        <v>797</v>
      </c>
      <c r="C8" t="s">
        <v>32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18</v>
      </c>
      <c r="K8">
        <v>36</v>
      </c>
      <c r="L8">
        <v>1</v>
      </c>
      <c r="M8">
        <v>28</v>
      </c>
      <c r="N8">
        <v>25</v>
      </c>
      <c r="O8">
        <v>188</v>
      </c>
      <c r="P8">
        <v>0</v>
      </c>
      <c r="Q8">
        <v>0</v>
      </c>
      <c r="R8">
        <v>0</v>
      </c>
      <c r="S8">
        <v>53.4</v>
      </c>
      <c r="T8">
        <v>4.8359240069084597E-2</v>
      </c>
      <c r="U8">
        <v>2</v>
      </c>
      <c r="V8">
        <v>7.52</v>
      </c>
      <c r="Y8">
        <v>40.9</v>
      </c>
    </row>
    <row r="9" spans="1:25" x14ac:dyDescent="0.2">
      <c r="A9" t="s">
        <v>802</v>
      </c>
      <c r="B9" t="s">
        <v>797</v>
      </c>
      <c r="C9" t="s">
        <v>32</v>
      </c>
      <c r="D9">
        <v>3</v>
      </c>
      <c r="E9">
        <v>0</v>
      </c>
      <c r="F9">
        <v>0</v>
      </c>
      <c r="G9">
        <v>0</v>
      </c>
      <c r="H9">
        <v>0</v>
      </c>
      <c r="I9">
        <v>0</v>
      </c>
      <c r="J9">
        <v>15</v>
      </c>
      <c r="K9">
        <v>49</v>
      </c>
      <c r="L9">
        <v>0</v>
      </c>
      <c r="M9">
        <v>8</v>
      </c>
      <c r="N9">
        <v>6</v>
      </c>
      <c r="O9">
        <v>19</v>
      </c>
      <c r="P9">
        <v>0</v>
      </c>
      <c r="Q9">
        <v>0</v>
      </c>
      <c r="R9">
        <v>1</v>
      </c>
      <c r="S9">
        <v>14.8</v>
      </c>
      <c r="T9">
        <v>1.38169257340242E-2</v>
      </c>
      <c r="U9">
        <v>3.2666666666666702</v>
      </c>
      <c r="V9">
        <v>3.1666666666666701</v>
      </c>
      <c r="Y9">
        <v>11.8</v>
      </c>
    </row>
    <row r="10" spans="1:25" x14ac:dyDescent="0.2">
      <c r="A10" t="s">
        <v>256</v>
      </c>
      <c r="B10" t="s">
        <v>797</v>
      </c>
      <c r="C10" t="s">
        <v>32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76</v>
      </c>
      <c r="K10">
        <v>365</v>
      </c>
      <c r="L10">
        <v>1</v>
      </c>
      <c r="M10">
        <v>5</v>
      </c>
      <c r="N10">
        <v>4</v>
      </c>
      <c r="O10">
        <v>12</v>
      </c>
      <c r="P10">
        <v>0</v>
      </c>
      <c r="Q10">
        <v>0</v>
      </c>
      <c r="R10">
        <v>0</v>
      </c>
      <c r="S10">
        <v>47.7</v>
      </c>
      <c r="T10">
        <v>8.6355785837651106E-3</v>
      </c>
      <c r="U10">
        <v>4.8026315789473699</v>
      </c>
      <c r="V10">
        <v>3</v>
      </c>
      <c r="Y10">
        <v>45.7</v>
      </c>
    </row>
    <row r="11" spans="1:25" x14ac:dyDescent="0.2">
      <c r="A11" t="s">
        <v>803</v>
      </c>
      <c r="B11" t="s">
        <v>797</v>
      </c>
      <c r="C11" t="s">
        <v>39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40</v>
      </c>
      <c r="N11">
        <v>25</v>
      </c>
      <c r="O11">
        <v>312</v>
      </c>
      <c r="P11">
        <v>3</v>
      </c>
      <c r="Q11">
        <v>0</v>
      </c>
      <c r="R11">
        <v>0</v>
      </c>
      <c r="S11">
        <v>74.2</v>
      </c>
      <c r="T11">
        <v>6.9084628670120898E-2</v>
      </c>
      <c r="V11">
        <v>12.48</v>
      </c>
      <c r="Y11">
        <v>61.7</v>
      </c>
    </row>
    <row r="12" spans="1:25" x14ac:dyDescent="0.2">
      <c r="A12" t="s">
        <v>804</v>
      </c>
      <c r="B12" t="s">
        <v>797</v>
      </c>
      <c r="C12" t="s">
        <v>39</v>
      </c>
      <c r="D12">
        <v>13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40</v>
      </c>
      <c r="N12">
        <v>31</v>
      </c>
      <c r="O12">
        <v>302</v>
      </c>
      <c r="P12">
        <v>0</v>
      </c>
      <c r="Q12">
        <v>0</v>
      </c>
      <c r="R12">
        <v>0</v>
      </c>
      <c r="S12">
        <v>61.2</v>
      </c>
      <c r="T12">
        <v>6.9084628670120898E-2</v>
      </c>
      <c r="U12">
        <v>0</v>
      </c>
      <c r="V12">
        <v>9.7419354838709697</v>
      </c>
      <c r="Y12">
        <v>45.7</v>
      </c>
    </row>
    <row r="13" spans="1:25" x14ac:dyDescent="0.2">
      <c r="A13" t="s">
        <v>805</v>
      </c>
      <c r="B13" t="s">
        <v>797</v>
      </c>
      <c r="C13" t="s">
        <v>39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28</v>
      </c>
      <c r="N13">
        <v>19</v>
      </c>
      <c r="O13">
        <v>189</v>
      </c>
      <c r="P13">
        <v>3</v>
      </c>
      <c r="Q13">
        <v>0</v>
      </c>
      <c r="R13">
        <v>0</v>
      </c>
      <c r="S13">
        <v>53.9</v>
      </c>
      <c r="T13">
        <v>4.8359240069084597E-2</v>
      </c>
      <c r="V13">
        <v>9.9473684210526301</v>
      </c>
      <c r="Y13">
        <v>46.4</v>
      </c>
    </row>
    <row r="14" spans="1:25" x14ac:dyDescent="0.2">
      <c r="A14" t="s">
        <v>806</v>
      </c>
      <c r="B14" t="s">
        <v>797</v>
      </c>
      <c r="C14" t="s">
        <v>44</v>
      </c>
      <c r="D14">
        <v>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8</v>
      </c>
      <c r="L14">
        <v>0</v>
      </c>
      <c r="M14">
        <v>22</v>
      </c>
      <c r="N14">
        <v>15</v>
      </c>
      <c r="O14">
        <v>207</v>
      </c>
      <c r="P14">
        <v>1</v>
      </c>
      <c r="Q14">
        <v>0</v>
      </c>
      <c r="R14">
        <v>0</v>
      </c>
      <c r="S14">
        <v>42.5</v>
      </c>
      <c r="T14">
        <v>3.7996545768566502E-2</v>
      </c>
      <c r="U14">
        <v>4</v>
      </c>
      <c r="V14">
        <v>13.8</v>
      </c>
      <c r="Y14">
        <v>35</v>
      </c>
    </row>
    <row r="15" spans="1:25" x14ac:dyDescent="0.2">
      <c r="A15" t="s">
        <v>807</v>
      </c>
      <c r="B15" t="s">
        <v>797</v>
      </c>
      <c r="C15" t="s">
        <v>44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78</v>
      </c>
      <c r="N15">
        <v>41</v>
      </c>
      <c r="O15">
        <v>593</v>
      </c>
      <c r="P15">
        <v>2</v>
      </c>
      <c r="Q15">
        <v>0</v>
      </c>
      <c r="R15">
        <v>0</v>
      </c>
      <c r="S15">
        <v>112.3</v>
      </c>
      <c r="T15">
        <v>0.13471502590673601</v>
      </c>
      <c r="V15">
        <v>14.4634146341463</v>
      </c>
      <c r="Y15">
        <v>91.8</v>
      </c>
    </row>
    <row r="16" spans="1:25" x14ac:dyDescent="0.2">
      <c r="A16" t="s">
        <v>808</v>
      </c>
      <c r="B16" t="s">
        <v>797</v>
      </c>
      <c r="C16" t="s">
        <v>44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1.03626943005181E-2</v>
      </c>
      <c r="V16">
        <v>12</v>
      </c>
      <c r="Y16">
        <v>3.4</v>
      </c>
    </row>
    <row r="17" spans="1:25" x14ac:dyDescent="0.2">
      <c r="A17" t="s">
        <v>809</v>
      </c>
      <c r="B17" t="s">
        <v>797</v>
      </c>
      <c r="C17" t="s">
        <v>44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20</v>
      </c>
      <c r="P17">
        <v>0</v>
      </c>
      <c r="Q17">
        <v>0</v>
      </c>
      <c r="R17">
        <v>0</v>
      </c>
      <c r="S17">
        <v>1</v>
      </c>
      <c r="T17">
        <v>1.72711571675302E-3</v>
      </c>
      <c r="V17">
        <v>20</v>
      </c>
      <c r="Y17">
        <v>2.5</v>
      </c>
    </row>
    <row r="18" spans="1:25" x14ac:dyDescent="0.2">
      <c r="A18" t="s">
        <v>810</v>
      </c>
      <c r="B18" t="s">
        <v>797</v>
      </c>
      <c r="C18" t="s">
        <v>44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30</v>
      </c>
      <c r="L18">
        <v>0</v>
      </c>
      <c r="M18">
        <v>141</v>
      </c>
      <c r="N18">
        <v>99</v>
      </c>
      <c r="O18">
        <v>925</v>
      </c>
      <c r="P18">
        <v>4</v>
      </c>
      <c r="Q18">
        <v>0</v>
      </c>
      <c r="R18">
        <v>0</v>
      </c>
      <c r="S18">
        <v>216.5</v>
      </c>
      <c r="T18">
        <v>0.243523316062176</v>
      </c>
      <c r="U18">
        <v>10</v>
      </c>
      <c r="V18">
        <v>9.3434343434343408</v>
      </c>
      <c r="Y18">
        <v>169</v>
      </c>
    </row>
    <row r="19" spans="1:25" x14ac:dyDescent="0.2">
      <c r="A19" t="s">
        <v>811</v>
      </c>
      <c r="B19" t="s">
        <v>797</v>
      </c>
      <c r="C19" t="s">
        <v>44</v>
      </c>
      <c r="D19">
        <v>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9</v>
      </c>
      <c r="N19">
        <v>3</v>
      </c>
      <c r="O19">
        <v>59</v>
      </c>
      <c r="P19">
        <v>0</v>
      </c>
      <c r="Q19">
        <v>0</v>
      </c>
      <c r="R19">
        <v>0</v>
      </c>
      <c r="S19">
        <v>8.9</v>
      </c>
      <c r="T19">
        <v>1.55440414507772E-2</v>
      </c>
      <c r="V19">
        <v>19.6666666666667</v>
      </c>
      <c r="Y19">
        <v>7.4</v>
      </c>
    </row>
    <row r="20" spans="1:25" x14ac:dyDescent="0.2">
      <c r="A20" t="s">
        <v>812</v>
      </c>
      <c r="B20" t="s">
        <v>797</v>
      </c>
      <c r="C20" t="s">
        <v>44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5</v>
      </c>
      <c r="K20">
        <v>58</v>
      </c>
      <c r="L20">
        <v>0</v>
      </c>
      <c r="M20">
        <v>91</v>
      </c>
      <c r="N20">
        <v>63</v>
      </c>
      <c r="O20">
        <v>623</v>
      </c>
      <c r="P20">
        <v>3</v>
      </c>
      <c r="Q20">
        <v>0</v>
      </c>
      <c r="R20">
        <v>0</v>
      </c>
      <c r="S20">
        <v>149.1</v>
      </c>
      <c r="T20">
        <v>0.15716753022452501</v>
      </c>
      <c r="U20">
        <v>11.6</v>
      </c>
      <c r="V20">
        <v>9.8888888888888893</v>
      </c>
      <c r="Y20">
        <v>117.6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797</v>
      </c>
      <c r="B31">
        <v>5720</v>
      </c>
      <c r="C31">
        <v>3854</v>
      </c>
      <c r="D31">
        <v>439</v>
      </c>
      <c r="E31">
        <v>1866</v>
      </c>
      <c r="F31">
        <v>8</v>
      </c>
      <c r="G31">
        <v>1278.1600000000001</v>
      </c>
      <c r="H31">
        <v>604</v>
      </c>
      <c r="I31">
        <v>0.65894039735099297</v>
      </c>
      <c r="J31">
        <v>17</v>
      </c>
      <c r="K31">
        <v>20</v>
      </c>
      <c r="L31">
        <v>10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813</v>
      </c>
      <c r="B36" t="s">
        <v>27</v>
      </c>
      <c r="C36">
        <v>24</v>
      </c>
      <c r="D36">
        <v>2</v>
      </c>
      <c r="E36" t="s">
        <v>67</v>
      </c>
      <c r="F36" t="s">
        <v>797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814</v>
      </c>
      <c r="B37" t="s">
        <v>27</v>
      </c>
      <c r="C37">
        <v>27</v>
      </c>
      <c r="D37">
        <v>4</v>
      </c>
      <c r="E37" t="s">
        <v>291</v>
      </c>
      <c r="F37" t="s">
        <v>797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815</v>
      </c>
      <c r="B38" t="s">
        <v>27</v>
      </c>
      <c r="C38">
        <v>21</v>
      </c>
      <c r="D38">
        <v>0</v>
      </c>
      <c r="E38" t="s">
        <v>176</v>
      </c>
      <c r="F38" t="s">
        <v>797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816</v>
      </c>
      <c r="B39" t="s">
        <v>32</v>
      </c>
      <c r="C39">
        <v>25</v>
      </c>
      <c r="D39">
        <v>2</v>
      </c>
      <c r="E39" t="s">
        <v>227</v>
      </c>
      <c r="F39" t="s">
        <v>797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817</v>
      </c>
      <c r="B40" t="s">
        <v>32</v>
      </c>
      <c r="C40">
        <v>22</v>
      </c>
      <c r="D40">
        <v>0</v>
      </c>
      <c r="E40" t="s">
        <v>445</v>
      </c>
      <c r="F40" t="s">
        <v>797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818</v>
      </c>
      <c r="B41" t="s">
        <v>32</v>
      </c>
      <c r="C41">
        <v>24</v>
      </c>
      <c r="D41">
        <v>2</v>
      </c>
      <c r="E41" t="s">
        <v>819</v>
      </c>
      <c r="F41" t="s">
        <v>797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820</v>
      </c>
      <c r="B42" t="s">
        <v>32</v>
      </c>
      <c r="C42">
        <v>25</v>
      </c>
      <c r="D42">
        <v>3</v>
      </c>
      <c r="E42" t="s">
        <v>203</v>
      </c>
      <c r="F42" t="s">
        <v>797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821</v>
      </c>
      <c r="B43" t="s">
        <v>32</v>
      </c>
      <c r="C43">
        <v>24</v>
      </c>
      <c r="D43">
        <v>3</v>
      </c>
      <c r="E43" t="s">
        <v>73</v>
      </c>
      <c r="F43" t="s">
        <v>797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822</v>
      </c>
      <c r="B44" t="s">
        <v>44</v>
      </c>
      <c r="C44">
        <v>24</v>
      </c>
      <c r="D44">
        <v>0</v>
      </c>
      <c r="E44" t="s">
        <v>447</v>
      </c>
      <c r="F44" t="s">
        <v>797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823</v>
      </c>
      <c r="B45" t="s">
        <v>44</v>
      </c>
      <c r="C45">
        <v>21</v>
      </c>
      <c r="D45">
        <v>0</v>
      </c>
      <c r="E45" t="s">
        <v>163</v>
      </c>
      <c r="F45" t="s">
        <v>797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824</v>
      </c>
      <c r="B46" t="s">
        <v>44</v>
      </c>
      <c r="C46">
        <v>26</v>
      </c>
      <c r="D46">
        <v>4</v>
      </c>
      <c r="E46" t="s">
        <v>825</v>
      </c>
      <c r="F46" t="s">
        <v>797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826</v>
      </c>
      <c r="B47" t="s">
        <v>44</v>
      </c>
      <c r="C47">
        <v>25</v>
      </c>
      <c r="D47">
        <v>0</v>
      </c>
      <c r="E47" t="s">
        <v>473</v>
      </c>
      <c r="F47" t="s">
        <v>797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827</v>
      </c>
      <c r="B48" t="s">
        <v>44</v>
      </c>
      <c r="C48">
        <v>23</v>
      </c>
      <c r="D48">
        <v>0</v>
      </c>
      <c r="E48" t="s">
        <v>828</v>
      </c>
      <c r="F48" t="s">
        <v>797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829</v>
      </c>
      <c r="B49" t="s">
        <v>44</v>
      </c>
      <c r="C49">
        <v>28</v>
      </c>
      <c r="D49">
        <v>6</v>
      </c>
      <c r="E49" t="s">
        <v>171</v>
      </c>
      <c r="F49" t="s">
        <v>797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830</v>
      </c>
      <c r="B50" t="s">
        <v>44</v>
      </c>
      <c r="C50">
        <v>29</v>
      </c>
      <c r="D50">
        <v>8</v>
      </c>
      <c r="E50" t="s">
        <v>281</v>
      </c>
      <c r="F50" t="s">
        <v>797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831</v>
      </c>
      <c r="B51" t="s">
        <v>44</v>
      </c>
      <c r="C51">
        <v>23</v>
      </c>
      <c r="D51">
        <v>0</v>
      </c>
      <c r="E51" t="s">
        <v>133</v>
      </c>
      <c r="F51" t="s">
        <v>797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832</v>
      </c>
      <c r="B52" t="s">
        <v>44</v>
      </c>
      <c r="C52">
        <v>25</v>
      </c>
      <c r="D52">
        <v>3</v>
      </c>
      <c r="E52" t="s">
        <v>79</v>
      </c>
      <c r="F52" t="s">
        <v>797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833</v>
      </c>
      <c r="B53" t="s">
        <v>44</v>
      </c>
      <c r="C53">
        <v>23</v>
      </c>
      <c r="D53">
        <v>0</v>
      </c>
      <c r="E53" t="s">
        <v>834</v>
      </c>
      <c r="F53" t="s">
        <v>797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835</v>
      </c>
      <c r="B54" t="s">
        <v>44</v>
      </c>
      <c r="C54">
        <v>27</v>
      </c>
      <c r="D54">
        <v>4</v>
      </c>
      <c r="E54" t="s">
        <v>836</v>
      </c>
      <c r="F54" t="s">
        <v>797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837</v>
      </c>
      <c r="B55" t="s">
        <v>44</v>
      </c>
      <c r="C55">
        <v>25</v>
      </c>
      <c r="D55">
        <v>2</v>
      </c>
      <c r="E55" t="s">
        <v>838</v>
      </c>
      <c r="F55" t="s">
        <v>797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839</v>
      </c>
      <c r="B56" t="s">
        <v>44</v>
      </c>
      <c r="C56">
        <v>27</v>
      </c>
      <c r="D56">
        <v>5</v>
      </c>
      <c r="E56" t="s">
        <v>447</v>
      </c>
      <c r="F56" t="s">
        <v>797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840</v>
      </c>
      <c r="B57" t="s">
        <v>44</v>
      </c>
      <c r="C57">
        <v>26</v>
      </c>
      <c r="D57">
        <v>3</v>
      </c>
      <c r="E57" t="s">
        <v>83</v>
      </c>
      <c r="F57" t="s">
        <v>797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841</v>
      </c>
      <c r="B58" t="s">
        <v>39</v>
      </c>
      <c r="C58">
        <v>29</v>
      </c>
      <c r="D58">
        <v>5</v>
      </c>
      <c r="E58" t="s">
        <v>842</v>
      </c>
      <c r="F58" t="s">
        <v>797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843</v>
      </c>
      <c r="B59" t="s">
        <v>39</v>
      </c>
      <c r="C59">
        <v>29</v>
      </c>
      <c r="D59">
        <v>5</v>
      </c>
      <c r="E59" t="s">
        <v>201</v>
      </c>
      <c r="F59" t="s">
        <v>797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844</v>
      </c>
      <c r="B60" t="s">
        <v>39</v>
      </c>
      <c r="C60">
        <v>25</v>
      </c>
      <c r="D60">
        <v>2</v>
      </c>
      <c r="E60" t="s">
        <v>234</v>
      </c>
      <c r="F60" t="s">
        <v>797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845</v>
      </c>
      <c r="B61" t="s">
        <v>39</v>
      </c>
      <c r="C61">
        <v>24</v>
      </c>
      <c r="D61">
        <v>0</v>
      </c>
      <c r="E61" t="s">
        <v>398</v>
      </c>
      <c r="F61" t="s">
        <v>797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846</v>
      </c>
      <c r="B62" t="s">
        <v>39</v>
      </c>
      <c r="C62">
        <v>24</v>
      </c>
      <c r="D62">
        <v>0</v>
      </c>
      <c r="E62" t="s">
        <v>618</v>
      </c>
      <c r="F62" t="s">
        <v>797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847</v>
      </c>
      <c r="B63" t="s">
        <v>39</v>
      </c>
      <c r="C63">
        <v>26</v>
      </c>
      <c r="D63">
        <v>3</v>
      </c>
      <c r="E63" t="s">
        <v>97</v>
      </c>
      <c r="F63" t="s">
        <v>797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">
      <c r="A64" t="s">
        <v>848</v>
      </c>
      <c r="B64" t="s">
        <v>39</v>
      </c>
      <c r="C64">
        <v>24</v>
      </c>
      <c r="D64">
        <v>0</v>
      </c>
      <c r="E64" t="s">
        <v>412</v>
      </c>
      <c r="F64" t="s">
        <v>797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AB64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849</v>
      </c>
      <c r="B2" t="s">
        <v>850</v>
      </c>
      <c r="C2" t="s">
        <v>27</v>
      </c>
      <c r="D2">
        <v>4</v>
      </c>
      <c r="E2">
        <v>11</v>
      </c>
      <c r="F2">
        <v>7</v>
      </c>
      <c r="G2">
        <v>35</v>
      </c>
      <c r="H2">
        <v>0</v>
      </c>
      <c r="I2">
        <v>1</v>
      </c>
      <c r="J2">
        <v>4</v>
      </c>
      <c r="K2">
        <v>-4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-1</v>
      </c>
      <c r="T2">
        <v>0</v>
      </c>
      <c r="U2">
        <v>-1</v>
      </c>
      <c r="W2">
        <v>0.63636363636363602</v>
      </c>
      <c r="X2">
        <v>0</v>
      </c>
      <c r="Y2">
        <v>0</v>
      </c>
    </row>
    <row r="3" spans="1:25" x14ac:dyDescent="0.2">
      <c r="A3" t="s">
        <v>851</v>
      </c>
      <c r="B3" t="s">
        <v>850</v>
      </c>
      <c r="C3" t="s">
        <v>27</v>
      </c>
      <c r="D3">
        <v>17</v>
      </c>
      <c r="E3">
        <v>584</v>
      </c>
      <c r="F3">
        <v>387</v>
      </c>
      <c r="G3">
        <v>4113</v>
      </c>
      <c r="H3">
        <v>25</v>
      </c>
      <c r="I3">
        <v>8</v>
      </c>
      <c r="J3">
        <v>62</v>
      </c>
      <c r="K3">
        <v>291</v>
      </c>
      <c r="L3">
        <v>5</v>
      </c>
      <c r="M3">
        <v>0</v>
      </c>
      <c r="N3">
        <v>0</v>
      </c>
      <c r="O3">
        <v>0</v>
      </c>
      <c r="P3">
        <v>0</v>
      </c>
      <c r="Q3">
        <v>9</v>
      </c>
      <c r="R3">
        <v>3</v>
      </c>
      <c r="S3">
        <v>295.62</v>
      </c>
      <c r="T3">
        <v>0</v>
      </c>
      <c r="U3">
        <v>4.6935483870967696</v>
      </c>
      <c r="W3">
        <v>0.66267123287671204</v>
      </c>
      <c r="X3">
        <v>4.2808219178082203E-2</v>
      </c>
      <c r="Y3">
        <v>303.62</v>
      </c>
    </row>
    <row r="4" spans="1:25" x14ac:dyDescent="0.2">
      <c r="A4" t="s">
        <v>852</v>
      </c>
      <c r="B4" t="s">
        <v>850</v>
      </c>
      <c r="C4" t="s">
        <v>32</v>
      </c>
      <c r="D4">
        <v>14</v>
      </c>
      <c r="E4">
        <v>0</v>
      </c>
      <c r="F4">
        <v>0</v>
      </c>
      <c r="G4">
        <v>0</v>
      </c>
      <c r="H4">
        <v>0</v>
      </c>
      <c r="I4">
        <v>0</v>
      </c>
      <c r="J4">
        <v>46</v>
      </c>
      <c r="K4">
        <v>194</v>
      </c>
      <c r="L4">
        <v>2</v>
      </c>
      <c r="M4">
        <v>26</v>
      </c>
      <c r="N4">
        <v>20</v>
      </c>
      <c r="O4">
        <v>126</v>
      </c>
      <c r="P4">
        <v>1</v>
      </c>
      <c r="Q4">
        <v>0</v>
      </c>
      <c r="R4">
        <v>0</v>
      </c>
      <c r="S4">
        <v>70</v>
      </c>
      <c r="T4">
        <v>4.3046357615894003E-2</v>
      </c>
      <c r="U4">
        <v>4.2173913043478297</v>
      </c>
      <c r="V4">
        <v>6.3</v>
      </c>
      <c r="Y4">
        <v>60</v>
      </c>
    </row>
    <row r="5" spans="1:25" x14ac:dyDescent="0.2">
      <c r="A5" t="s">
        <v>853</v>
      </c>
      <c r="B5" t="s">
        <v>850</v>
      </c>
      <c r="C5" t="s">
        <v>32</v>
      </c>
      <c r="D5">
        <v>7</v>
      </c>
      <c r="E5">
        <v>0</v>
      </c>
      <c r="F5">
        <v>0</v>
      </c>
      <c r="G5">
        <v>0</v>
      </c>
      <c r="H5">
        <v>0</v>
      </c>
      <c r="I5">
        <v>0</v>
      </c>
      <c r="J5">
        <v>81</v>
      </c>
      <c r="K5">
        <v>340</v>
      </c>
      <c r="L5">
        <v>3</v>
      </c>
      <c r="M5">
        <v>11</v>
      </c>
      <c r="N5">
        <v>9</v>
      </c>
      <c r="O5">
        <v>46</v>
      </c>
      <c r="P5">
        <v>1</v>
      </c>
      <c r="Q5">
        <v>0</v>
      </c>
      <c r="R5">
        <v>0</v>
      </c>
      <c r="S5">
        <v>71.599999999999994</v>
      </c>
      <c r="T5">
        <v>1.82119205298013E-2</v>
      </c>
      <c r="U5">
        <v>4.19753086419753</v>
      </c>
      <c r="V5">
        <v>5.1111111111111098</v>
      </c>
      <c r="Y5">
        <v>67.099999999999994</v>
      </c>
    </row>
    <row r="6" spans="1:25" x14ac:dyDescent="0.2">
      <c r="A6" t="s">
        <v>854</v>
      </c>
      <c r="B6" t="s">
        <v>850</v>
      </c>
      <c r="C6" t="s">
        <v>32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42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10.199999999999999</v>
      </c>
      <c r="T6">
        <v>0</v>
      </c>
      <c r="U6">
        <v>3.5</v>
      </c>
      <c r="Y6">
        <v>10.199999999999999</v>
      </c>
    </row>
    <row r="7" spans="1:25" x14ac:dyDescent="0.2">
      <c r="A7" t="s">
        <v>855</v>
      </c>
      <c r="B7" t="s">
        <v>850</v>
      </c>
      <c r="C7" t="s">
        <v>32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220</v>
      </c>
      <c r="K7">
        <v>1125</v>
      </c>
      <c r="L7">
        <v>5</v>
      </c>
      <c r="M7">
        <v>45</v>
      </c>
      <c r="N7">
        <v>35</v>
      </c>
      <c r="O7">
        <v>316</v>
      </c>
      <c r="P7">
        <v>0</v>
      </c>
      <c r="Q7">
        <v>3</v>
      </c>
      <c r="R7">
        <v>1</v>
      </c>
      <c r="S7">
        <v>203.1</v>
      </c>
      <c r="T7">
        <v>7.4503311258278193E-2</v>
      </c>
      <c r="U7">
        <v>5.1136363636363598</v>
      </c>
      <c r="V7">
        <v>9.0285714285714302</v>
      </c>
      <c r="Y7">
        <v>187.6</v>
      </c>
    </row>
    <row r="8" spans="1:25" x14ac:dyDescent="0.2">
      <c r="A8" t="s">
        <v>856</v>
      </c>
      <c r="B8" t="s">
        <v>850</v>
      </c>
      <c r="C8" t="s">
        <v>39</v>
      </c>
      <c r="D8">
        <v>6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6</v>
      </c>
      <c r="O8">
        <v>42</v>
      </c>
      <c r="P8">
        <v>0</v>
      </c>
      <c r="Q8">
        <v>0</v>
      </c>
      <c r="R8">
        <v>0</v>
      </c>
      <c r="S8">
        <v>10.199999999999999</v>
      </c>
      <c r="T8">
        <v>1.3245033112582801E-2</v>
      </c>
      <c r="V8">
        <v>7</v>
      </c>
      <c r="Y8">
        <v>7.2</v>
      </c>
    </row>
    <row r="9" spans="1:25" x14ac:dyDescent="0.2">
      <c r="A9" t="s">
        <v>857</v>
      </c>
      <c r="B9" t="s">
        <v>850</v>
      </c>
      <c r="C9" t="s">
        <v>39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13</v>
      </c>
      <c r="N9">
        <v>9</v>
      </c>
      <c r="O9">
        <v>135</v>
      </c>
      <c r="P9">
        <v>0</v>
      </c>
      <c r="Q9">
        <v>0</v>
      </c>
      <c r="R9">
        <v>0</v>
      </c>
      <c r="S9">
        <v>22.5</v>
      </c>
      <c r="T9">
        <v>2.1523178807947001E-2</v>
      </c>
      <c r="V9">
        <v>15</v>
      </c>
      <c r="Y9">
        <v>18</v>
      </c>
    </row>
    <row r="10" spans="1:25" x14ac:dyDescent="0.2">
      <c r="A10" t="s">
        <v>858</v>
      </c>
      <c r="B10" t="s">
        <v>850</v>
      </c>
      <c r="C10" t="s">
        <v>39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K10">
        <v>13</v>
      </c>
      <c r="L10">
        <v>0</v>
      </c>
      <c r="M10">
        <v>98</v>
      </c>
      <c r="N10">
        <v>73</v>
      </c>
      <c r="O10">
        <v>766</v>
      </c>
      <c r="P10">
        <v>4</v>
      </c>
      <c r="Q10">
        <v>0</v>
      </c>
      <c r="R10">
        <v>0</v>
      </c>
      <c r="S10">
        <v>176.9</v>
      </c>
      <c r="T10">
        <v>0.16225165562913901</v>
      </c>
      <c r="U10">
        <v>6.5</v>
      </c>
      <c r="V10">
        <v>10.4931506849315</v>
      </c>
      <c r="Y10">
        <v>138.4</v>
      </c>
    </row>
    <row r="11" spans="1:25" x14ac:dyDescent="0.2">
      <c r="A11" t="s">
        <v>859</v>
      </c>
      <c r="B11" t="s">
        <v>850</v>
      </c>
      <c r="C11" t="s">
        <v>39</v>
      </c>
      <c r="D11">
        <v>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4</v>
      </c>
      <c r="O11">
        <v>40</v>
      </c>
      <c r="P11">
        <v>0</v>
      </c>
      <c r="Q11">
        <v>0</v>
      </c>
      <c r="R11">
        <v>0</v>
      </c>
      <c r="S11">
        <v>8</v>
      </c>
      <c r="T11">
        <v>6.6225165562913899E-3</v>
      </c>
      <c r="V11">
        <v>10</v>
      </c>
      <c r="Y11">
        <v>6</v>
      </c>
    </row>
    <row r="12" spans="1:25" x14ac:dyDescent="0.2">
      <c r="A12" t="s">
        <v>860</v>
      </c>
      <c r="B12" t="s">
        <v>850</v>
      </c>
      <c r="C12" t="s">
        <v>44</v>
      </c>
      <c r="D12">
        <v>17</v>
      </c>
      <c r="E12">
        <v>1</v>
      </c>
      <c r="F12">
        <v>0</v>
      </c>
      <c r="G12">
        <v>0</v>
      </c>
      <c r="H12">
        <v>0</v>
      </c>
      <c r="I12">
        <v>0</v>
      </c>
      <c r="J12">
        <v>5</v>
      </c>
      <c r="K12">
        <v>11</v>
      </c>
      <c r="L12">
        <v>0</v>
      </c>
      <c r="M12">
        <v>133</v>
      </c>
      <c r="N12">
        <v>84</v>
      </c>
      <c r="O12">
        <v>1108</v>
      </c>
      <c r="P12">
        <v>8</v>
      </c>
      <c r="Q12">
        <v>0</v>
      </c>
      <c r="R12">
        <v>0</v>
      </c>
      <c r="S12">
        <v>243.9</v>
      </c>
      <c r="T12">
        <v>0.22019867549668901</v>
      </c>
      <c r="U12">
        <v>2.2000000000000002</v>
      </c>
      <c r="V12">
        <v>13.1904761904762</v>
      </c>
      <c r="W12">
        <v>0</v>
      </c>
      <c r="X12">
        <v>0</v>
      </c>
      <c r="Y12">
        <v>201.9</v>
      </c>
    </row>
    <row r="13" spans="1:25" x14ac:dyDescent="0.2">
      <c r="A13" t="s">
        <v>861</v>
      </c>
      <c r="B13" t="s">
        <v>850</v>
      </c>
      <c r="C13" t="s">
        <v>44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12</v>
      </c>
      <c r="K13">
        <v>86</v>
      </c>
      <c r="L13">
        <v>0</v>
      </c>
      <c r="M13">
        <v>30</v>
      </c>
      <c r="N13">
        <v>23</v>
      </c>
      <c r="O13">
        <v>187</v>
      </c>
      <c r="P13">
        <v>3</v>
      </c>
      <c r="Q13">
        <v>0</v>
      </c>
      <c r="R13">
        <v>0</v>
      </c>
      <c r="S13">
        <v>70.3</v>
      </c>
      <c r="T13">
        <v>4.96688741721854E-2</v>
      </c>
      <c r="U13">
        <v>7.1666666666666696</v>
      </c>
      <c r="V13">
        <v>8.1304347826087007</v>
      </c>
      <c r="Y13">
        <v>56.8</v>
      </c>
    </row>
    <row r="14" spans="1:25" x14ac:dyDescent="0.2">
      <c r="A14" t="s">
        <v>862</v>
      </c>
      <c r="B14" t="s">
        <v>850</v>
      </c>
      <c r="C14" t="s">
        <v>44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81</v>
      </c>
      <c r="N14">
        <v>46</v>
      </c>
      <c r="O14">
        <v>529</v>
      </c>
      <c r="P14">
        <v>3</v>
      </c>
      <c r="Q14">
        <v>0</v>
      </c>
      <c r="R14">
        <v>0</v>
      </c>
      <c r="S14">
        <v>116.9</v>
      </c>
      <c r="T14">
        <v>0.13410596026490099</v>
      </c>
      <c r="V14">
        <v>11.5</v>
      </c>
      <c r="Y14">
        <v>93.9</v>
      </c>
    </row>
    <row r="15" spans="1:25" x14ac:dyDescent="0.2">
      <c r="A15" t="s">
        <v>863</v>
      </c>
      <c r="B15" t="s">
        <v>850</v>
      </c>
      <c r="C15" t="s">
        <v>44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3</v>
      </c>
      <c r="O15">
        <v>30</v>
      </c>
      <c r="P15">
        <v>0</v>
      </c>
      <c r="Q15">
        <v>0</v>
      </c>
      <c r="R15">
        <v>0</v>
      </c>
      <c r="S15">
        <v>6</v>
      </c>
      <c r="T15">
        <v>6.6225165562913899E-3</v>
      </c>
      <c r="V15">
        <v>10</v>
      </c>
      <c r="Y15">
        <v>4.5</v>
      </c>
    </row>
    <row r="16" spans="1:25" x14ac:dyDescent="0.2">
      <c r="A16" t="s">
        <v>864</v>
      </c>
      <c r="B16" t="s">
        <v>850</v>
      </c>
      <c r="C16" t="s">
        <v>44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18</v>
      </c>
      <c r="L16">
        <v>0</v>
      </c>
      <c r="M16">
        <v>121</v>
      </c>
      <c r="N16">
        <v>82</v>
      </c>
      <c r="O16">
        <v>823</v>
      </c>
      <c r="P16">
        <v>5</v>
      </c>
      <c r="Q16">
        <v>0</v>
      </c>
      <c r="R16">
        <v>0</v>
      </c>
      <c r="S16">
        <v>198.1</v>
      </c>
      <c r="T16">
        <v>0.20033112582781501</v>
      </c>
      <c r="U16">
        <v>4.5</v>
      </c>
      <c r="V16">
        <v>10.0365853658537</v>
      </c>
      <c r="Y16">
        <v>155.1</v>
      </c>
    </row>
    <row r="30" spans="1:12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">
      <c r="A31" t="s">
        <v>850</v>
      </c>
      <c r="B31">
        <v>6264</v>
      </c>
      <c r="C31">
        <v>4148</v>
      </c>
      <c r="D31">
        <v>448</v>
      </c>
      <c r="E31">
        <v>2116</v>
      </c>
      <c r="F31">
        <v>16</v>
      </c>
      <c r="G31">
        <v>1502.32</v>
      </c>
      <c r="H31">
        <v>596</v>
      </c>
      <c r="I31">
        <v>0.66107382550335603</v>
      </c>
      <c r="J31">
        <v>25</v>
      </c>
      <c r="K31">
        <v>9</v>
      </c>
      <c r="L31">
        <v>12</v>
      </c>
    </row>
    <row r="32" spans="1:12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865</v>
      </c>
      <c r="B36" t="s">
        <v>27</v>
      </c>
      <c r="C36">
        <v>29</v>
      </c>
      <c r="D36">
        <v>6</v>
      </c>
      <c r="E36" t="s">
        <v>95</v>
      </c>
      <c r="F36" t="s">
        <v>850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866</v>
      </c>
      <c r="B37" t="s">
        <v>27</v>
      </c>
      <c r="C37">
        <v>23</v>
      </c>
      <c r="D37">
        <v>2</v>
      </c>
      <c r="E37" t="s">
        <v>460</v>
      </c>
      <c r="F37" t="s">
        <v>850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867</v>
      </c>
      <c r="B38" t="s">
        <v>27</v>
      </c>
      <c r="C38">
        <v>25</v>
      </c>
      <c r="D38">
        <v>0</v>
      </c>
      <c r="E38" t="s">
        <v>868</v>
      </c>
      <c r="F38" t="s">
        <v>850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869</v>
      </c>
      <c r="B39" t="s">
        <v>32</v>
      </c>
      <c r="C39">
        <v>21</v>
      </c>
      <c r="D39">
        <v>0</v>
      </c>
      <c r="E39" t="s">
        <v>466</v>
      </c>
      <c r="F39" t="s">
        <v>850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870</v>
      </c>
      <c r="B40" t="s">
        <v>32</v>
      </c>
      <c r="C40">
        <v>22</v>
      </c>
      <c r="D40">
        <v>0</v>
      </c>
      <c r="E40" t="s">
        <v>239</v>
      </c>
      <c r="F40" t="s">
        <v>850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871</v>
      </c>
      <c r="B41" t="s">
        <v>32</v>
      </c>
      <c r="C41">
        <v>24</v>
      </c>
      <c r="D41">
        <v>2</v>
      </c>
      <c r="E41" t="s">
        <v>460</v>
      </c>
      <c r="F41" t="s">
        <v>850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872</v>
      </c>
      <c r="B42" t="s">
        <v>32</v>
      </c>
      <c r="C42">
        <v>26</v>
      </c>
      <c r="D42">
        <v>3</v>
      </c>
      <c r="E42" t="s">
        <v>394</v>
      </c>
      <c r="F42" t="s">
        <v>850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873</v>
      </c>
      <c r="B43" t="s">
        <v>32</v>
      </c>
      <c r="C43">
        <v>27</v>
      </c>
      <c r="D43">
        <v>4</v>
      </c>
      <c r="E43" t="s">
        <v>874</v>
      </c>
      <c r="F43" t="s">
        <v>850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875</v>
      </c>
      <c r="B44" t="s">
        <v>32</v>
      </c>
      <c r="C44">
        <v>26</v>
      </c>
      <c r="D44">
        <v>4</v>
      </c>
      <c r="E44" t="s">
        <v>75</v>
      </c>
      <c r="F44" t="s">
        <v>850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876</v>
      </c>
      <c r="B45" t="s">
        <v>44</v>
      </c>
      <c r="C45">
        <v>28</v>
      </c>
      <c r="D45">
        <v>6</v>
      </c>
      <c r="E45" t="s">
        <v>207</v>
      </c>
      <c r="F45" t="s">
        <v>850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877</v>
      </c>
      <c r="B46" t="s">
        <v>44</v>
      </c>
      <c r="C46">
        <v>23</v>
      </c>
      <c r="D46">
        <v>0</v>
      </c>
      <c r="E46" t="s">
        <v>363</v>
      </c>
      <c r="F46" t="s">
        <v>850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878</v>
      </c>
      <c r="B47" t="s">
        <v>44</v>
      </c>
      <c r="C47">
        <v>24</v>
      </c>
      <c r="D47">
        <v>0</v>
      </c>
      <c r="E47" t="s">
        <v>689</v>
      </c>
      <c r="F47" t="s">
        <v>850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879</v>
      </c>
      <c r="B48" t="s">
        <v>44</v>
      </c>
      <c r="C48">
        <v>26</v>
      </c>
      <c r="D48">
        <v>2</v>
      </c>
      <c r="E48" t="s">
        <v>281</v>
      </c>
      <c r="F48" t="s">
        <v>850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880</v>
      </c>
      <c r="B49" t="s">
        <v>44</v>
      </c>
      <c r="C49">
        <v>23</v>
      </c>
      <c r="D49">
        <v>0</v>
      </c>
      <c r="E49" t="s">
        <v>222</v>
      </c>
      <c r="F49" t="s">
        <v>850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881</v>
      </c>
      <c r="B50" t="s">
        <v>44</v>
      </c>
      <c r="C50">
        <v>25</v>
      </c>
      <c r="D50">
        <v>1</v>
      </c>
      <c r="E50" t="s">
        <v>237</v>
      </c>
      <c r="F50" t="s">
        <v>850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882</v>
      </c>
      <c r="B51" t="s">
        <v>44</v>
      </c>
      <c r="C51">
        <v>28</v>
      </c>
      <c r="D51">
        <v>6</v>
      </c>
      <c r="E51" t="s">
        <v>215</v>
      </c>
      <c r="F51" t="s">
        <v>850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883</v>
      </c>
      <c r="B52" t="s">
        <v>44</v>
      </c>
      <c r="C52">
        <v>26</v>
      </c>
      <c r="D52">
        <v>5</v>
      </c>
      <c r="E52" t="s">
        <v>454</v>
      </c>
      <c r="F52" t="s">
        <v>850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884</v>
      </c>
      <c r="B53" t="s">
        <v>44</v>
      </c>
      <c r="C53">
        <v>24</v>
      </c>
      <c r="D53">
        <v>0</v>
      </c>
      <c r="E53" t="s">
        <v>247</v>
      </c>
      <c r="F53" t="s">
        <v>850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885</v>
      </c>
      <c r="B54" t="s">
        <v>44</v>
      </c>
      <c r="C54">
        <v>26</v>
      </c>
      <c r="D54">
        <v>1</v>
      </c>
      <c r="E54" t="s">
        <v>886</v>
      </c>
      <c r="F54" t="s">
        <v>850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887</v>
      </c>
      <c r="B55" t="s">
        <v>44</v>
      </c>
      <c r="C55">
        <v>25</v>
      </c>
      <c r="D55">
        <v>0</v>
      </c>
      <c r="E55" t="s">
        <v>73</v>
      </c>
      <c r="F55" t="s">
        <v>850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888</v>
      </c>
      <c r="B56" t="s">
        <v>44</v>
      </c>
      <c r="C56">
        <v>28</v>
      </c>
      <c r="D56">
        <v>5</v>
      </c>
      <c r="E56" t="s">
        <v>153</v>
      </c>
      <c r="F56" t="s">
        <v>850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889</v>
      </c>
      <c r="B57" t="s">
        <v>44</v>
      </c>
      <c r="C57">
        <v>21</v>
      </c>
      <c r="D57">
        <v>0</v>
      </c>
      <c r="E57" t="s">
        <v>340</v>
      </c>
      <c r="F57" t="s">
        <v>850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890</v>
      </c>
      <c r="B58" t="s">
        <v>44</v>
      </c>
      <c r="C58">
        <v>23</v>
      </c>
      <c r="D58">
        <v>1</v>
      </c>
      <c r="E58" t="s">
        <v>466</v>
      </c>
      <c r="F58" t="s">
        <v>850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891</v>
      </c>
      <c r="B59" t="s">
        <v>39</v>
      </c>
      <c r="C59">
        <v>28</v>
      </c>
      <c r="D59">
        <v>6</v>
      </c>
      <c r="E59" t="s">
        <v>239</v>
      </c>
      <c r="F59" t="s">
        <v>850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892</v>
      </c>
      <c r="B60" t="s">
        <v>39</v>
      </c>
      <c r="C60">
        <v>25</v>
      </c>
      <c r="D60">
        <v>2</v>
      </c>
      <c r="E60" t="s">
        <v>209</v>
      </c>
      <c r="F60" t="s">
        <v>850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893</v>
      </c>
      <c r="B61" t="s">
        <v>39</v>
      </c>
      <c r="D61">
        <v>1</v>
      </c>
      <c r="E61" t="s">
        <v>894</v>
      </c>
      <c r="F61" t="s">
        <v>850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895</v>
      </c>
      <c r="B62" t="s">
        <v>39</v>
      </c>
      <c r="C62">
        <v>25</v>
      </c>
      <c r="D62">
        <v>0</v>
      </c>
      <c r="E62" t="s">
        <v>334</v>
      </c>
      <c r="F62" t="s">
        <v>850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896</v>
      </c>
      <c r="B63" t="s">
        <v>39</v>
      </c>
      <c r="C63">
        <v>27</v>
      </c>
      <c r="D63">
        <v>2</v>
      </c>
      <c r="E63" t="s">
        <v>897</v>
      </c>
      <c r="F63" t="s">
        <v>850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">
      <c r="A64" t="s">
        <v>898</v>
      </c>
      <c r="B64" t="s">
        <v>39</v>
      </c>
      <c r="C64">
        <v>22</v>
      </c>
      <c r="D64">
        <v>0</v>
      </c>
      <c r="E64" t="s">
        <v>340</v>
      </c>
      <c r="F64" t="s">
        <v>850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AB64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899</v>
      </c>
      <c r="B2" t="s">
        <v>900</v>
      </c>
      <c r="C2" t="s">
        <v>112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5</v>
      </c>
      <c r="K2">
        <v>7</v>
      </c>
      <c r="L2">
        <v>0</v>
      </c>
      <c r="M2">
        <v>3</v>
      </c>
      <c r="N2">
        <v>2</v>
      </c>
      <c r="O2">
        <v>11</v>
      </c>
      <c r="P2">
        <v>0</v>
      </c>
      <c r="Q2">
        <v>0</v>
      </c>
      <c r="R2">
        <v>0</v>
      </c>
      <c r="S2">
        <v>3.8</v>
      </c>
      <c r="T2">
        <v>5.0335570469798698E-3</v>
      </c>
      <c r="U2">
        <v>1.4</v>
      </c>
      <c r="V2">
        <v>5.5</v>
      </c>
      <c r="Y2">
        <v>2.8</v>
      </c>
    </row>
    <row r="3" spans="1:25" x14ac:dyDescent="0.2">
      <c r="A3" t="s">
        <v>901</v>
      </c>
      <c r="B3" t="s">
        <v>900</v>
      </c>
      <c r="C3" t="s">
        <v>27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>
        <v>5</v>
      </c>
      <c r="K3">
        <v>-5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-0.5</v>
      </c>
      <c r="T3">
        <v>0</v>
      </c>
      <c r="U3">
        <v>-1</v>
      </c>
      <c r="W3">
        <v>0</v>
      </c>
      <c r="X3">
        <v>0</v>
      </c>
      <c r="Y3">
        <v>-0.5</v>
      </c>
    </row>
    <row r="4" spans="1:25" x14ac:dyDescent="0.2">
      <c r="A4" t="s">
        <v>902</v>
      </c>
      <c r="B4" t="s">
        <v>900</v>
      </c>
      <c r="C4" t="s">
        <v>27</v>
      </c>
      <c r="D4">
        <v>17</v>
      </c>
      <c r="E4">
        <v>648</v>
      </c>
      <c r="F4">
        <v>435</v>
      </c>
      <c r="G4">
        <v>5250</v>
      </c>
      <c r="H4">
        <v>41</v>
      </c>
      <c r="I4">
        <v>12</v>
      </c>
      <c r="J4">
        <v>61</v>
      </c>
      <c r="K4">
        <v>358</v>
      </c>
      <c r="L4">
        <v>4</v>
      </c>
      <c r="M4">
        <v>1</v>
      </c>
      <c r="N4">
        <v>1</v>
      </c>
      <c r="O4">
        <v>6</v>
      </c>
      <c r="P4">
        <v>0</v>
      </c>
      <c r="Q4">
        <v>0</v>
      </c>
      <c r="R4">
        <v>3</v>
      </c>
      <c r="S4">
        <v>417.4</v>
      </c>
      <c r="T4">
        <v>1.6778523489932901E-3</v>
      </c>
      <c r="U4">
        <v>5.8688524590163897</v>
      </c>
      <c r="V4">
        <v>6</v>
      </c>
      <c r="W4">
        <v>0.67129629629629595</v>
      </c>
      <c r="X4">
        <v>6.3271604938271594E-2</v>
      </c>
      <c r="Y4">
        <v>427.8</v>
      </c>
    </row>
    <row r="5" spans="1:25" x14ac:dyDescent="0.2">
      <c r="A5" t="s">
        <v>903</v>
      </c>
      <c r="B5" t="s">
        <v>900</v>
      </c>
      <c r="C5" t="s">
        <v>32</v>
      </c>
      <c r="D5">
        <v>10</v>
      </c>
      <c r="E5">
        <v>0</v>
      </c>
      <c r="F5">
        <v>0</v>
      </c>
      <c r="G5">
        <v>0</v>
      </c>
      <c r="H5">
        <v>0</v>
      </c>
      <c r="I5">
        <v>0</v>
      </c>
      <c r="J5">
        <v>71</v>
      </c>
      <c r="K5">
        <v>302</v>
      </c>
      <c r="L5">
        <v>3</v>
      </c>
      <c r="M5">
        <v>23</v>
      </c>
      <c r="N5">
        <v>17</v>
      </c>
      <c r="O5">
        <v>151</v>
      </c>
      <c r="P5">
        <v>3</v>
      </c>
      <c r="Q5">
        <v>0</v>
      </c>
      <c r="R5">
        <v>0</v>
      </c>
      <c r="S5">
        <v>98.3</v>
      </c>
      <c r="T5">
        <v>3.8590604026845603E-2</v>
      </c>
      <c r="U5">
        <v>4.2535211267605604</v>
      </c>
      <c r="V5">
        <v>8.8823529411764692</v>
      </c>
      <c r="Y5">
        <v>89.8</v>
      </c>
    </row>
    <row r="6" spans="1:25" x14ac:dyDescent="0.2">
      <c r="A6" t="s">
        <v>904</v>
      </c>
      <c r="B6" t="s">
        <v>900</v>
      </c>
      <c r="C6" t="s">
        <v>32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170</v>
      </c>
      <c r="K6">
        <v>830</v>
      </c>
      <c r="L6">
        <v>5</v>
      </c>
      <c r="M6">
        <v>14</v>
      </c>
      <c r="N6">
        <v>13</v>
      </c>
      <c r="O6">
        <v>130</v>
      </c>
      <c r="P6">
        <v>0</v>
      </c>
      <c r="Q6">
        <v>2</v>
      </c>
      <c r="R6">
        <v>0</v>
      </c>
      <c r="S6">
        <v>135</v>
      </c>
      <c r="T6">
        <v>2.3489932885905999E-2</v>
      </c>
      <c r="U6">
        <v>4.8823529411764701</v>
      </c>
      <c r="V6">
        <v>10</v>
      </c>
      <c r="Y6">
        <v>128.5</v>
      </c>
    </row>
    <row r="7" spans="1:25" x14ac:dyDescent="0.2">
      <c r="A7" t="s">
        <v>905</v>
      </c>
      <c r="B7" t="s">
        <v>900</v>
      </c>
      <c r="C7" t="s">
        <v>32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72</v>
      </c>
      <c r="K7">
        <v>291</v>
      </c>
      <c r="L7">
        <v>1</v>
      </c>
      <c r="M7">
        <v>71</v>
      </c>
      <c r="N7">
        <v>56</v>
      </c>
      <c r="O7">
        <v>512</v>
      </c>
      <c r="P7">
        <v>9</v>
      </c>
      <c r="Q7">
        <v>0</v>
      </c>
      <c r="R7">
        <v>0</v>
      </c>
      <c r="S7">
        <v>196.3</v>
      </c>
      <c r="T7">
        <v>0.119127516778523</v>
      </c>
      <c r="U7">
        <v>4.0416666666666696</v>
      </c>
      <c r="V7">
        <v>9.1428571428571406</v>
      </c>
      <c r="Y7">
        <v>168.3</v>
      </c>
    </row>
    <row r="8" spans="1:25" x14ac:dyDescent="0.2">
      <c r="A8" t="s">
        <v>906</v>
      </c>
      <c r="B8" t="s">
        <v>900</v>
      </c>
      <c r="C8" t="s">
        <v>32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1</v>
      </c>
      <c r="M8">
        <v>1</v>
      </c>
      <c r="N8">
        <v>1</v>
      </c>
      <c r="O8">
        <v>22</v>
      </c>
      <c r="P8">
        <v>0</v>
      </c>
      <c r="Q8">
        <v>0</v>
      </c>
      <c r="R8">
        <v>0</v>
      </c>
      <c r="S8">
        <v>16.2</v>
      </c>
      <c r="T8">
        <v>1.6778523489932901E-3</v>
      </c>
      <c r="U8">
        <v>4.1176470588235299</v>
      </c>
      <c r="V8">
        <v>22</v>
      </c>
      <c r="Y8">
        <v>15.7</v>
      </c>
    </row>
    <row r="9" spans="1:25" x14ac:dyDescent="0.2">
      <c r="A9" t="s">
        <v>907</v>
      </c>
      <c r="B9" t="s">
        <v>900</v>
      </c>
      <c r="C9" t="s">
        <v>39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2</v>
      </c>
      <c r="N9">
        <v>2</v>
      </c>
      <c r="O9">
        <v>20</v>
      </c>
      <c r="P9">
        <v>1</v>
      </c>
      <c r="Q9">
        <v>0</v>
      </c>
      <c r="R9">
        <v>0</v>
      </c>
      <c r="S9">
        <v>10</v>
      </c>
      <c r="T9">
        <v>3.3557046979865801E-3</v>
      </c>
      <c r="V9">
        <v>10</v>
      </c>
      <c r="Y9">
        <v>9</v>
      </c>
    </row>
    <row r="10" spans="1:25" x14ac:dyDescent="0.2">
      <c r="A10" t="s">
        <v>908</v>
      </c>
      <c r="B10" t="s">
        <v>900</v>
      </c>
      <c r="C10" t="s">
        <v>39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13</v>
      </c>
      <c r="N10">
        <v>9</v>
      </c>
      <c r="O10">
        <v>108</v>
      </c>
      <c r="P10">
        <v>2</v>
      </c>
      <c r="Q10">
        <v>0</v>
      </c>
      <c r="R10">
        <v>0</v>
      </c>
      <c r="S10">
        <v>31.8</v>
      </c>
      <c r="T10">
        <v>2.18120805369128E-2</v>
      </c>
      <c r="V10">
        <v>12</v>
      </c>
      <c r="Y10">
        <v>27.3</v>
      </c>
    </row>
    <row r="11" spans="1:25" x14ac:dyDescent="0.2">
      <c r="A11" t="s">
        <v>909</v>
      </c>
      <c r="B11" t="s">
        <v>900</v>
      </c>
      <c r="C11" t="s">
        <v>39</v>
      </c>
      <c r="D11">
        <v>17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34</v>
      </c>
      <c r="N11">
        <v>28</v>
      </c>
      <c r="O11">
        <v>299</v>
      </c>
      <c r="P11">
        <v>1</v>
      </c>
      <c r="Q11">
        <v>0</v>
      </c>
      <c r="R11">
        <v>0</v>
      </c>
      <c r="S11">
        <v>70</v>
      </c>
      <c r="T11">
        <v>5.7046979865771799E-2</v>
      </c>
      <c r="U11">
        <v>1</v>
      </c>
      <c r="V11">
        <v>10.6785714285714</v>
      </c>
      <c r="Y11">
        <v>56</v>
      </c>
    </row>
    <row r="12" spans="1:25" x14ac:dyDescent="0.2">
      <c r="A12" t="s">
        <v>910</v>
      </c>
      <c r="B12" t="s">
        <v>900</v>
      </c>
      <c r="C12" t="s">
        <v>39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5</v>
      </c>
      <c r="L12">
        <v>0</v>
      </c>
      <c r="M12">
        <v>152</v>
      </c>
      <c r="N12">
        <v>110</v>
      </c>
      <c r="O12">
        <v>1338</v>
      </c>
      <c r="P12">
        <v>12</v>
      </c>
      <c r="Q12">
        <v>0</v>
      </c>
      <c r="R12">
        <v>0</v>
      </c>
      <c r="S12">
        <v>316.3</v>
      </c>
      <c r="T12">
        <v>0.25503355704698</v>
      </c>
      <c r="U12">
        <v>2.5</v>
      </c>
      <c r="V12">
        <v>12.1636363636364</v>
      </c>
      <c r="Y12">
        <v>261.3</v>
      </c>
    </row>
    <row r="13" spans="1:25" x14ac:dyDescent="0.2">
      <c r="A13" t="s">
        <v>911</v>
      </c>
      <c r="B13" t="s">
        <v>900</v>
      </c>
      <c r="C13" t="s">
        <v>44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101</v>
      </c>
      <c r="N13">
        <v>78</v>
      </c>
      <c r="O13">
        <v>933</v>
      </c>
      <c r="P13">
        <v>3</v>
      </c>
      <c r="Q13">
        <v>0</v>
      </c>
      <c r="R13">
        <v>0</v>
      </c>
      <c r="S13">
        <v>185.3</v>
      </c>
      <c r="T13">
        <v>0.16946308724832199</v>
      </c>
      <c r="V13">
        <v>11.961538461538501</v>
      </c>
      <c r="Y13">
        <v>150.30000000000001</v>
      </c>
    </row>
    <row r="14" spans="1:25" x14ac:dyDescent="0.2">
      <c r="A14" t="s">
        <v>912</v>
      </c>
      <c r="B14" t="s">
        <v>900</v>
      </c>
      <c r="C14" t="s">
        <v>44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34</v>
      </c>
      <c r="N14">
        <v>15</v>
      </c>
      <c r="O14">
        <v>315</v>
      </c>
      <c r="P14">
        <v>2</v>
      </c>
      <c r="Q14">
        <v>0</v>
      </c>
      <c r="R14">
        <v>0</v>
      </c>
      <c r="S14">
        <v>58.5</v>
      </c>
      <c r="T14">
        <v>5.7046979865771799E-2</v>
      </c>
      <c r="V14">
        <v>21</v>
      </c>
      <c r="Y14">
        <v>51</v>
      </c>
    </row>
    <row r="15" spans="1:25" x14ac:dyDescent="0.2">
      <c r="A15" t="s">
        <v>913</v>
      </c>
      <c r="B15" t="s">
        <v>900</v>
      </c>
      <c r="C15" t="s">
        <v>44</v>
      </c>
      <c r="D15">
        <v>7</v>
      </c>
      <c r="E15">
        <v>0</v>
      </c>
      <c r="F15">
        <v>0</v>
      </c>
      <c r="G15">
        <v>0</v>
      </c>
      <c r="H15">
        <v>0</v>
      </c>
      <c r="I15">
        <v>0</v>
      </c>
      <c r="J15">
        <v>5</v>
      </c>
      <c r="K15">
        <v>59</v>
      </c>
      <c r="L15">
        <v>1</v>
      </c>
      <c r="M15">
        <v>17</v>
      </c>
      <c r="N15">
        <v>14</v>
      </c>
      <c r="O15">
        <v>171</v>
      </c>
      <c r="P15">
        <v>2</v>
      </c>
      <c r="Q15">
        <v>0</v>
      </c>
      <c r="R15">
        <v>0</v>
      </c>
      <c r="S15">
        <v>55</v>
      </c>
      <c r="T15">
        <v>2.85234899328859E-2</v>
      </c>
      <c r="U15">
        <v>11.8</v>
      </c>
      <c r="V15">
        <v>12.214285714285699</v>
      </c>
      <c r="Y15">
        <v>48</v>
      </c>
    </row>
    <row r="16" spans="1:25" x14ac:dyDescent="0.2">
      <c r="A16" t="s">
        <v>914</v>
      </c>
      <c r="B16" t="s">
        <v>900</v>
      </c>
      <c r="C16" t="s">
        <v>44</v>
      </c>
      <c r="D16">
        <v>8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31</v>
      </c>
      <c r="L16">
        <v>2</v>
      </c>
      <c r="M16">
        <v>34</v>
      </c>
      <c r="N16">
        <v>25</v>
      </c>
      <c r="O16">
        <v>297</v>
      </c>
      <c r="P16">
        <v>4</v>
      </c>
      <c r="Q16">
        <v>0</v>
      </c>
      <c r="R16">
        <v>0</v>
      </c>
      <c r="S16">
        <v>93.8</v>
      </c>
      <c r="T16">
        <v>5.7046979865771799E-2</v>
      </c>
      <c r="U16">
        <v>7.75</v>
      </c>
      <c r="V16">
        <v>11.88</v>
      </c>
      <c r="Y16">
        <v>81.3</v>
      </c>
    </row>
    <row r="17" spans="1:25" x14ac:dyDescent="0.2">
      <c r="A17" t="s">
        <v>915</v>
      </c>
      <c r="B17" t="s">
        <v>900</v>
      </c>
      <c r="C17" t="s">
        <v>44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-3</v>
      </c>
      <c r="L17">
        <v>0</v>
      </c>
      <c r="M17">
        <v>81</v>
      </c>
      <c r="N17">
        <v>42</v>
      </c>
      <c r="O17">
        <v>687</v>
      </c>
      <c r="P17">
        <v>2</v>
      </c>
      <c r="Q17">
        <v>0</v>
      </c>
      <c r="R17">
        <v>0</v>
      </c>
      <c r="S17">
        <v>122.4</v>
      </c>
      <c r="T17">
        <v>0.13590604026845601</v>
      </c>
      <c r="U17">
        <v>-3</v>
      </c>
      <c r="V17">
        <v>16.3571428571429</v>
      </c>
      <c r="Y17">
        <v>101.4</v>
      </c>
    </row>
    <row r="18" spans="1:25" x14ac:dyDescent="0.2">
      <c r="A18" t="s">
        <v>916</v>
      </c>
      <c r="B18" t="s">
        <v>900</v>
      </c>
      <c r="C18" t="s">
        <v>44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24</v>
      </c>
      <c r="L18">
        <v>0</v>
      </c>
      <c r="M18">
        <v>33</v>
      </c>
      <c r="N18">
        <v>22</v>
      </c>
      <c r="O18">
        <v>250</v>
      </c>
      <c r="P18">
        <v>0</v>
      </c>
      <c r="Q18">
        <v>0</v>
      </c>
      <c r="R18">
        <v>0</v>
      </c>
      <c r="S18">
        <v>49.4</v>
      </c>
      <c r="T18">
        <v>5.5369127516778499E-2</v>
      </c>
      <c r="U18">
        <v>8</v>
      </c>
      <c r="V18">
        <v>11.363636363636401</v>
      </c>
      <c r="Y18">
        <v>38.4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900</v>
      </c>
      <c r="B31">
        <v>7220</v>
      </c>
      <c r="C31">
        <v>5250</v>
      </c>
      <c r="D31">
        <v>417</v>
      </c>
      <c r="E31">
        <v>1970</v>
      </c>
      <c r="F31">
        <v>18</v>
      </c>
      <c r="G31">
        <v>1859</v>
      </c>
      <c r="H31">
        <v>650</v>
      </c>
      <c r="I31">
        <v>0.66923076923076896</v>
      </c>
      <c r="J31">
        <v>41</v>
      </c>
      <c r="K31">
        <v>12</v>
      </c>
      <c r="L31">
        <v>2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917</v>
      </c>
      <c r="B36" t="s">
        <v>27</v>
      </c>
      <c r="C36">
        <v>25</v>
      </c>
      <c r="D36">
        <v>2</v>
      </c>
      <c r="E36" t="s">
        <v>234</v>
      </c>
      <c r="F36" t="s">
        <v>900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918</v>
      </c>
      <c r="B37" t="s">
        <v>27</v>
      </c>
      <c r="C37">
        <v>33</v>
      </c>
      <c r="D37">
        <v>13</v>
      </c>
      <c r="E37" t="s">
        <v>615</v>
      </c>
      <c r="F37" t="s">
        <v>900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919</v>
      </c>
      <c r="B38" t="s">
        <v>27</v>
      </c>
      <c r="C38">
        <v>27</v>
      </c>
      <c r="D38">
        <v>6</v>
      </c>
      <c r="E38" t="s">
        <v>515</v>
      </c>
      <c r="F38" t="s">
        <v>900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920</v>
      </c>
      <c r="B39" t="s">
        <v>27</v>
      </c>
      <c r="C39">
        <v>25</v>
      </c>
      <c r="D39">
        <v>0</v>
      </c>
      <c r="E39" t="s">
        <v>742</v>
      </c>
      <c r="F39" t="s">
        <v>900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921</v>
      </c>
      <c r="B40" t="s">
        <v>32</v>
      </c>
      <c r="C40">
        <v>24</v>
      </c>
      <c r="D40">
        <v>3</v>
      </c>
      <c r="E40" t="s">
        <v>222</v>
      </c>
      <c r="F40" t="s">
        <v>900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922</v>
      </c>
      <c r="B41" t="s">
        <v>32</v>
      </c>
      <c r="C41">
        <v>31</v>
      </c>
      <c r="D41">
        <v>9</v>
      </c>
      <c r="E41" t="s">
        <v>923</v>
      </c>
      <c r="F41" t="s">
        <v>900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924</v>
      </c>
      <c r="B42" t="s">
        <v>32</v>
      </c>
      <c r="C42">
        <v>24</v>
      </c>
      <c r="D42">
        <v>0</v>
      </c>
      <c r="E42" t="s">
        <v>211</v>
      </c>
      <c r="F42" t="s">
        <v>900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925</v>
      </c>
      <c r="B43" t="s">
        <v>32</v>
      </c>
      <c r="C43">
        <v>25</v>
      </c>
      <c r="D43">
        <v>3</v>
      </c>
      <c r="E43" t="s">
        <v>176</v>
      </c>
      <c r="F43" t="s">
        <v>900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926</v>
      </c>
      <c r="B44" t="s">
        <v>32</v>
      </c>
      <c r="C44">
        <v>23</v>
      </c>
      <c r="D44">
        <v>0</v>
      </c>
      <c r="E44" t="s">
        <v>927</v>
      </c>
      <c r="F44" t="s">
        <v>900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928</v>
      </c>
      <c r="B45" t="s">
        <v>44</v>
      </c>
      <c r="D45">
        <v>0</v>
      </c>
      <c r="E45" t="s">
        <v>422</v>
      </c>
      <c r="F45" t="s">
        <v>900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929</v>
      </c>
      <c r="B46" t="s">
        <v>44</v>
      </c>
      <c r="C46">
        <v>22</v>
      </c>
      <c r="D46">
        <v>0</v>
      </c>
      <c r="E46" t="s">
        <v>239</v>
      </c>
      <c r="F46" t="s">
        <v>900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930</v>
      </c>
      <c r="B47" t="s">
        <v>44</v>
      </c>
      <c r="C47">
        <v>24</v>
      </c>
      <c r="D47">
        <v>0</v>
      </c>
      <c r="E47" t="s">
        <v>361</v>
      </c>
      <c r="F47" t="s">
        <v>900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931</v>
      </c>
      <c r="B48" t="s">
        <v>44</v>
      </c>
      <c r="C48">
        <v>27</v>
      </c>
      <c r="D48">
        <v>5</v>
      </c>
      <c r="E48" t="s">
        <v>295</v>
      </c>
      <c r="F48" t="s">
        <v>900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932</v>
      </c>
      <c r="B49" t="s">
        <v>44</v>
      </c>
      <c r="C49">
        <v>22</v>
      </c>
      <c r="D49">
        <v>0</v>
      </c>
      <c r="E49" t="s">
        <v>358</v>
      </c>
      <c r="F49" t="s">
        <v>900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933</v>
      </c>
      <c r="B50" t="s">
        <v>44</v>
      </c>
      <c r="C50">
        <v>25</v>
      </c>
      <c r="D50">
        <v>1</v>
      </c>
      <c r="E50" t="s">
        <v>460</v>
      </c>
      <c r="F50" t="s">
        <v>900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934</v>
      </c>
      <c r="B51" t="s">
        <v>44</v>
      </c>
      <c r="C51">
        <v>23</v>
      </c>
      <c r="D51">
        <v>0</v>
      </c>
      <c r="E51" t="s">
        <v>279</v>
      </c>
      <c r="F51" t="s">
        <v>900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935</v>
      </c>
      <c r="B52" t="s">
        <v>44</v>
      </c>
      <c r="C52">
        <v>23</v>
      </c>
      <c r="D52">
        <v>0</v>
      </c>
      <c r="E52" t="s">
        <v>234</v>
      </c>
      <c r="F52" t="s">
        <v>900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936</v>
      </c>
      <c r="B53" t="s">
        <v>44</v>
      </c>
      <c r="C53">
        <v>28</v>
      </c>
      <c r="D53">
        <v>5</v>
      </c>
      <c r="E53" t="s">
        <v>85</v>
      </c>
      <c r="F53" t="s">
        <v>900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937</v>
      </c>
      <c r="B54" t="s">
        <v>44</v>
      </c>
      <c r="C54">
        <v>23</v>
      </c>
      <c r="D54">
        <v>0</v>
      </c>
      <c r="E54" t="s">
        <v>460</v>
      </c>
      <c r="F54" t="s">
        <v>900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938</v>
      </c>
      <c r="B55" t="s">
        <v>44</v>
      </c>
      <c r="C55">
        <v>23</v>
      </c>
      <c r="D55">
        <v>2</v>
      </c>
      <c r="E55" t="s">
        <v>95</v>
      </c>
      <c r="F55" t="s">
        <v>900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939</v>
      </c>
      <c r="B56" t="s">
        <v>44</v>
      </c>
      <c r="C56">
        <v>24</v>
      </c>
      <c r="D56">
        <v>2</v>
      </c>
      <c r="E56" t="s">
        <v>176</v>
      </c>
      <c r="F56" t="s">
        <v>900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940</v>
      </c>
      <c r="B57" t="s">
        <v>44</v>
      </c>
      <c r="C57">
        <v>28</v>
      </c>
      <c r="D57">
        <v>5</v>
      </c>
      <c r="E57" t="s">
        <v>874</v>
      </c>
      <c r="F57" t="s">
        <v>900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941</v>
      </c>
      <c r="B58" t="s">
        <v>44</v>
      </c>
      <c r="C58">
        <v>27</v>
      </c>
      <c r="D58">
        <v>5</v>
      </c>
      <c r="E58" t="s">
        <v>942</v>
      </c>
      <c r="F58" t="s">
        <v>900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943</v>
      </c>
      <c r="B59" t="s">
        <v>39</v>
      </c>
      <c r="C59">
        <v>31</v>
      </c>
      <c r="D59">
        <v>8</v>
      </c>
      <c r="E59" t="s">
        <v>69</v>
      </c>
      <c r="F59" t="s">
        <v>900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944</v>
      </c>
      <c r="B60" t="s">
        <v>39</v>
      </c>
      <c r="C60">
        <v>27</v>
      </c>
      <c r="D60">
        <v>2</v>
      </c>
      <c r="E60" t="s">
        <v>615</v>
      </c>
      <c r="F60" t="s">
        <v>900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945</v>
      </c>
      <c r="B61" t="s">
        <v>39</v>
      </c>
      <c r="C61">
        <v>27</v>
      </c>
      <c r="D61">
        <v>1</v>
      </c>
      <c r="E61" t="s">
        <v>81</v>
      </c>
      <c r="F61" t="s">
        <v>900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946</v>
      </c>
      <c r="B62" t="s">
        <v>39</v>
      </c>
      <c r="C62">
        <v>27</v>
      </c>
      <c r="D62">
        <v>2</v>
      </c>
      <c r="E62" t="s">
        <v>947</v>
      </c>
      <c r="F62" t="s">
        <v>900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948</v>
      </c>
      <c r="B63" t="s">
        <v>39</v>
      </c>
      <c r="C63">
        <v>24</v>
      </c>
      <c r="D63">
        <v>2</v>
      </c>
      <c r="E63" t="s">
        <v>819</v>
      </c>
      <c r="F63" t="s">
        <v>900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">
      <c r="A64" t="s">
        <v>949</v>
      </c>
      <c r="B64" t="s">
        <v>39</v>
      </c>
      <c r="C64">
        <v>33</v>
      </c>
      <c r="D64">
        <v>10</v>
      </c>
      <c r="E64" t="s">
        <v>133</v>
      </c>
      <c r="F64" t="s">
        <v>900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950</v>
      </c>
      <c r="B2" t="s">
        <v>951</v>
      </c>
      <c r="C2" t="s">
        <v>27</v>
      </c>
      <c r="D2">
        <v>3</v>
      </c>
      <c r="E2">
        <v>12</v>
      </c>
      <c r="F2">
        <v>8</v>
      </c>
      <c r="G2">
        <v>52</v>
      </c>
      <c r="H2">
        <v>1</v>
      </c>
      <c r="I2">
        <v>0</v>
      </c>
      <c r="J2">
        <v>1</v>
      </c>
      <c r="K2">
        <v>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1</v>
      </c>
      <c r="S2">
        <v>8.48</v>
      </c>
      <c r="T2">
        <v>0</v>
      </c>
      <c r="U2">
        <v>4</v>
      </c>
      <c r="W2">
        <v>0.66666666666666696</v>
      </c>
      <c r="X2">
        <v>8.3333333333333301E-2</v>
      </c>
      <c r="Y2">
        <v>8.48</v>
      </c>
    </row>
    <row r="3" spans="1:25" x14ac:dyDescent="0.2">
      <c r="A3" t="s">
        <v>952</v>
      </c>
      <c r="B3" t="s">
        <v>951</v>
      </c>
      <c r="C3" t="s">
        <v>27</v>
      </c>
      <c r="D3">
        <v>17</v>
      </c>
      <c r="E3">
        <v>699</v>
      </c>
      <c r="F3">
        <v>477</v>
      </c>
      <c r="G3">
        <v>4739</v>
      </c>
      <c r="H3">
        <v>25</v>
      </c>
      <c r="I3">
        <v>10</v>
      </c>
      <c r="J3">
        <v>54</v>
      </c>
      <c r="K3">
        <v>147</v>
      </c>
      <c r="L3">
        <v>0</v>
      </c>
      <c r="M3">
        <v>2</v>
      </c>
      <c r="N3">
        <v>2</v>
      </c>
      <c r="O3">
        <v>-10</v>
      </c>
      <c r="P3">
        <v>0</v>
      </c>
      <c r="Q3">
        <v>3</v>
      </c>
      <c r="R3">
        <v>1</v>
      </c>
      <c r="S3">
        <v>281.26</v>
      </c>
      <c r="T3">
        <v>3.07692307692308E-3</v>
      </c>
      <c r="U3">
        <v>2.7222222222222201</v>
      </c>
      <c r="V3">
        <v>-5</v>
      </c>
      <c r="W3">
        <v>0.68240343347639498</v>
      </c>
      <c r="X3">
        <v>3.5765379113018601E-2</v>
      </c>
      <c r="Y3">
        <v>290.26</v>
      </c>
    </row>
    <row r="4" spans="1:25" x14ac:dyDescent="0.2">
      <c r="A4" t="s">
        <v>953</v>
      </c>
      <c r="B4" t="s">
        <v>951</v>
      </c>
      <c r="C4" t="s">
        <v>32</v>
      </c>
      <c r="D4">
        <v>17</v>
      </c>
      <c r="E4">
        <v>0</v>
      </c>
      <c r="F4">
        <v>0</v>
      </c>
      <c r="G4">
        <v>0</v>
      </c>
      <c r="H4">
        <v>0</v>
      </c>
      <c r="I4">
        <v>0</v>
      </c>
      <c r="J4">
        <v>204</v>
      </c>
      <c r="K4">
        <v>915</v>
      </c>
      <c r="L4">
        <v>13</v>
      </c>
      <c r="M4">
        <v>127</v>
      </c>
      <c r="N4">
        <v>107</v>
      </c>
      <c r="O4">
        <v>722</v>
      </c>
      <c r="P4">
        <v>5</v>
      </c>
      <c r="Q4">
        <v>2</v>
      </c>
      <c r="R4">
        <v>0</v>
      </c>
      <c r="S4">
        <v>372.7</v>
      </c>
      <c r="T4">
        <v>0.19538461538461499</v>
      </c>
      <c r="U4">
        <v>4.4852941176470598</v>
      </c>
      <c r="V4">
        <v>6.7476635514018701</v>
      </c>
      <c r="Y4">
        <v>321.2</v>
      </c>
    </row>
    <row r="5" spans="1:25" x14ac:dyDescent="0.2">
      <c r="A5" t="s">
        <v>954</v>
      </c>
      <c r="B5" t="s">
        <v>951</v>
      </c>
      <c r="C5" t="s">
        <v>32</v>
      </c>
      <c r="D5">
        <v>5</v>
      </c>
      <c r="E5">
        <v>0</v>
      </c>
      <c r="F5">
        <v>0</v>
      </c>
      <c r="G5">
        <v>0</v>
      </c>
      <c r="H5">
        <v>0</v>
      </c>
      <c r="I5">
        <v>0</v>
      </c>
      <c r="J5">
        <v>18</v>
      </c>
      <c r="K5">
        <v>41</v>
      </c>
      <c r="L5">
        <v>0</v>
      </c>
      <c r="M5">
        <v>3</v>
      </c>
      <c r="N5">
        <v>3</v>
      </c>
      <c r="O5">
        <v>13</v>
      </c>
      <c r="P5">
        <v>0</v>
      </c>
      <c r="Q5">
        <v>0</v>
      </c>
      <c r="R5">
        <v>0</v>
      </c>
      <c r="S5">
        <v>8.4</v>
      </c>
      <c r="T5">
        <v>4.6153846153846202E-3</v>
      </c>
      <c r="U5">
        <v>2.2777777777777799</v>
      </c>
      <c r="V5">
        <v>4.3333333333333304</v>
      </c>
      <c r="Y5">
        <v>6.9</v>
      </c>
    </row>
    <row r="6" spans="1:25" x14ac:dyDescent="0.2">
      <c r="A6" t="s">
        <v>955</v>
      </c>
      <c r="B6" t="s">
        <v>951</v>
      </c>
      <c r="C6" t="s">
        <v>32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69</v>
      </c>
      <c r="K6">
        <v>287</v>
      </c>
      <c r="L6">
        <v>2</v>
      </c>
      <c r="M6">
        <v>25</v>
      </c>
      <c r="N6">
        <v>14</v>
      </c>
      <c r="O6">
        <v>101</v>
      </c>
      <c r="P6">
        <v>0</v>
      </c>
      <c r="Q6">
        <v>0</v>
      </c>
      <c r="R6">
        <v>0</v>
      </c>
      <c r="S6">
        <v>64.8</v>
      </c>
      <c r="T6">
        <v>3.8461538461538498E-2</v>
      </c>
      <c r="U6">
        <v>4.1594202898550696</v>
      </c>
      <c r="V6">
        <v>7.21428571428571</v>
      </c>
      <c r="Y6">
        <v>57.8</v>
      </c>
    </row>
    <row r="7" spans="1:25" x14ac:dyDescent="0.2">
      <c r="A7" t="s">
        <v>956</v>
      </c>
      <c r="B7" t="s">
        <v>951</v>
      </c>
      <c r="C7" t="s">
        <v>32</v>
      </c>
      <c r="D7"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13</v>
      </c>
      <c r="K7">
        <v>19</v>
      </c>
      <c r="L7">
        <v>0</v>
      </c>
      <c r="M7">
        <v>2</v>
      </c>
      <c r="N7">
        <v>2</v>
      </c>
      <c r="O7">
        <v>14</v>
      </c>
      <c r="P7">
        <v>0</v>
      </c>
      <c r="Q7">
        <v>0</v>
      </c>
      <c r="R7">
        <v>0</v>
      </c>
      <c r="S7">
        <v>5.3</v>
      </c>
      <c r="T7">
        <v>3.07692307692308E-3</v>
      </c>
      <c r="U7">
        <v>1.4615384615384599</v>
      </c>
      <c r="V7">
        <v>7</v>
      </c>
      <c r="Y7">
        <v>4.3</v>
      </c>
    </row>
    <row r="8" spans="1:25" x14ac:dyDescent="0.2">
      <c r="A8" t="s">
        <v>957</v>
      </c>
      <c r="B8" t="s">
        <v>951</v>
      </c>
      <c r="C8" t="s">
        <v>32</v>
      </c>
      <c r="D8">
        <v>10</v>
      </c>
      <c r="E8">
        <v>0</v>
      </c>
      <c r="F8">
        <v>0</v>
      </c>
      <c r="G8">
        <v>0</v>
      </c>
      <c r="H8">
        <v>0</v>
      </c>
      <c r="I8">
        <v>0</v>
      </c>
      <c r="J8">
        <v>36</v>
      </c>
      <c r="K8">
        <v>106</v>
      </c>
      <c r="L8">
        <v>0</v>
      </c>
      <c r="M8">
        <v>13</v>
      </c>
      <c r="N8">
        <v>9</v>
      </c>
      <c r="O8">
        <v>53</v>
      </c>
      <c r="P8">
        <v>0</v>
      </c>
      <c r="Q8">
        <v>0</v>
      </c>
      <c r="R8">
        <v>0</v>
      </c>
      <c r="S8">
        <v>24.9</v>
      </c>
      <c r="T8">
        <v>0.02</v>
      </c>
      <c r="U8">
        <v>2.9444444444444402</v>
      </c>
      <c r="V8">
        <v>5.8888888888888902</v>
      </c>
      <c r="Y8">
        <v>20.399999999999999</v>
      </c>
    </row>
    <row r="9" spans="1:25" x14ac:dyDescent="0.2">
      <c r="A9" t="s">
        <v>958</v>
      </c>
      <c r="B9" t="s">
        <v>951</v>
      </c>
      <c r="C9" t="s">
        <v>32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</v>
      </c>
      <c r="K9">
        <v>8</v>
      </c>
      <c r="L9">
        <v>0</v>
      </c>
      <c r="M9">
        <v>8</v>
      </c>
      <c r="N9">
        <v>5</v>
      </c>
      <c r="O9">
        <v>8</v>
      </c>
      <c r="P9">
        <v>2</v>
      </c>
      <c r="Q9">
        <v>0</v>
      </c>
      <c r="R9">
        <v>0</v>
      </c>
      <c r="S9">
        <v>18.600000000000001</v>
      </c>
      <c r="T9">
        <v>1.2307692307692301E-2</v>
      </c>
      <c r="U9">
        <v>2</v>
      </c>
      <c r="V9">
        <v>1.6</v>
      </c>
      <c r="Y9">
        <v>16.100000000000001</v>
      </c>
    </row>
    <row r="10" spans="1:25" x14ac:dyDescent="0.2">
      <c r="A10" t="s">
        <v>959</v>
      </c>
      <c r="B10" t="s">
        <v>951</v>
      </c>
      <c r="C10" t="s">
        <v>39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12</v>
      </c>
      <c r="N10">
        <v>10</v>
      </c>
      <c r="O10">
        <v>130</v>
      </c>
      <c r="P10">
        <v>1</v>
      </c>
      <c r="Q10">
        <v>0</v>
      </c>
      <c r="R10">
        <v>0</v>
      </c>
      <c r="S10">
        <v>29</v>
      </c>
      <c r="T10">
        <v>1.8461538461538501E-2</v>
      </c>
      <c r="V10">
        <v>13</v>
      </c>
      <c r="Y10">
        <v>24</v>
      </c>
    </row>
    <row r="11" spans="1:25" x14ac:dyDescent="0.2">
      <c r="A11" t="s">
        <v>960</v>
      </c>
      <c r="B11" t="s">
        <v>951</v>
      </c>
      <c r="C11" t="s">
        <v>39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87</v>
      </c>
      <c r="N11">
        <v>58</v>
      </c>
      <c r="O11">
        <v>555</v>
      </c>
      <c r="P11">
        <v>4</v>
      </c>
      <c r="Q11">
        <v>0</v>
      </c>
      <c r="R11">
        <v>0</v>
      </c>
      <c r="S11">
        <v>139.5</v>
      </c>
      <c r="T11">
        <v>0.133846153846154</v>
      </c>
      <c r="U11">
        <v>0</v>
      </c>
      <c r="V11">
        <v>9.5689655172413808</v>
      </c>
      <c r="Y11">
        <v>108.5</v>
      </c>
    </row>
    <row r="12" spans="1:25" x14ac:dyDescent="0.2">
      <c r="A12" t="s">
        <v>961</v>
      </c>
      <c r="B12" t="s">
        <v>951</v>
      </c>
      <c r="C12" t="s">
        <v>39</v>
      </c>
      <c r="D12">
        <v>3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</v>
      </c>
      <c r="N12">
        <v>1</v>
      </c>
      <c r="O12">
        <v>4</v>
      </c>
      <c r="P12">
        <v>0</v>
      </c>
      <c r="Q12">
        <v>0</v>
      </c>
      <c r="R12">
        <v>0</v>
      </c>
      <c r="S12">
        <v>1.4</v>
      </c>
      <c r="T12">
        <v>6.1538461538461504E-3</v>
      </c>
      <c r="V12">
        <v>4</v>
      </c>
      <c r="Y12">
        <v>0.9</v>
      </c>
    </row>
    <row r="13" spans="1:25" x14ac:dyDescent="0.2">
      <c r="A13" t="s">
        <v>962</v>
      </c>
      <c r="B13" t="s">
        <v>951</v>
      </c>
      <c r="C13" t="s">
        <v>39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5</v>
      </c>
      <c r="N13">
        <v>4</v>
      </c>
      <c r="O13">
        <v>17</v>
      </c>
      <c r="P13">
        <v>0</v>
      </c>
      <c r="Q13">
        <v>0</v>
      </c>
      <c r="R13">
        <v>0</v>
      </c>
      <c r="S13">
        <v>5.7</v>
      </c>
      <c r="T13">
        <v>7.6923076923076901E-3</v>
      </c>
      <c r="V13">
        <v>4.25</v>
      </c>
      <c r="Y13">
        <v>3.7</v>
      </c>
    </row>
    <row r="14" spans="1:25" x14ac:dyDescent="0.2">
      <c r="A14" t="s">
        <v>963</v>
      </c>
      <c r="B14" t="s">
        <v>951</v>
      </c>
      <c r="C14" t="s">
        <v>39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18</v>
      </c>
      <c r="N14">
        <v>10</v>
      </c>
      <c r="O14">
        <v>72</v>
      </c>
      <c r="P14">
        <v>0</v>
      </c>
      <c r="Q14">
        <v>0</v>
      </c>
      <c r="R14">
        <v>0</v>
      </c>
      <c r="S14">
        <v>17.2</v>
      </c>
      <c r="T14">
        <v>2.76923076923077E-2</v>
      </c>
      <c r="V14">
        <v>7.2</v>
      </c>
      <c r="Y14">
        <v>12.2</v>
      </c>
    </row>
    <row r="15" spans="1:25" x14ac:dyDescent="0.2">
      <c r="A15" t="s">
        <v>964</v>
      </c>
      <c r="B15" t="s">
        <v>951</v>
      </c>
      <c r="C15" t="s">
        <v>44</v>
      </c>
      <c r="D15">
        <v>16</v>
      </c>
      <c r="E15">
        <v>0</v>
      </c>
      <c r="F15">
        <v>0</v>
      </c>
      <c r="G15">
        <v>0</v>
      </c>
      <c r="H15">
        <v>0</v>
      </c>
      <c r="I15">
        <v>0</v>
      </c>
      <c r="J15">
        <v>2</v>
      </c>
      <c r="K15">
        <v>-15</v>
      </c>
      <c r="L15">
        <v>0</v>
      </c>
      <c r="M15">
        <v>65</v>
      </c>
      <c r="N15">
        <v>46</v>
      </c>
      <c r="O15">
        <v>538</v>
      </c>
      <c r="P15">
        <v>3</v>
      </c>
      <c r="Q15">
        <v>0</v>
      </c>
      <c r="R15">
        <v>0</v>
      </c>
      <c r="S15">
        <v>114.3</v>
      </c>
      <c r="T15">
        <v>0.1</v>
      </c>
      <c r="U15">
        <v>-7.5</v>
      </c>
      <c r="V15">
        <v>11.695652173913</v>
      </c>
      <c r="Y15">
        <v>93.3</v>
      </c>
    </row>
    <row r="16" spans="1:25" x14ac:dyDescent="0.2">
      <c r="A16" t="s">
        <v>965</v>
      </c>
      <c r="B16" t="s">
        <v>951</v>
      </c>
      <c r="C16" t="s">
        <v>44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4</v>
      </c>
      <c r="N16">
        <v>2</v>
      </c>
      <c r="O16">
        <v>64</v>
      </c>
      <c r="P16">
        <v>0</v>
      </c>
      <c r="Q16">
        <v>0</v>
      </c>
      <c r="R16">
        <v>0</v>
      </c>
      <c r="S16">
        <v>8.4</v>
      </c>
      <c r="T16">
        <v>6.1538461538461504E-3</v>
      </c>
      <c r="V16">
        <v>32</v>
      </c>
      <c r="Y16">
        <v>7.4</v>
      </c>
    </row>
    <row r="17" spans="1:25" x14ac:dyDescent="0.2">
      <c r="A17" t="s">
        <v>966</v>
      </c>
      <c r="B17" t="s">
        <v>951</v>
      </c>
      <c r="C17" t="s">
        <v>44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</v>
      </c>
      <c r="N17">
        <v>1</v>
      </c>
      <c r="O17">
        <v>5</v>
      </c>
      <c r="P17">
        <v>0</v>
      </c>
      <c r="Q17">
        <v>0</v>
      </c>
      <c r="R17">
        <v>0</v>
      </c>
      <c r="S17">
        <v>1.5</v>
      </c>
      <c r="T17">
        <v>3.07692307692308E-3</v>
      </c>
      <c r="V17">
        <v>5</v>
      </c>
      <c r="Y17">
        <v>1</v>
      </c>
    </row>
    <row r="18" spans="1:25" x14ac:dyDescent="0.2">
      <c r="A18" t="s">
        <v>967</v>
      </c>
      <c r="B18" t="s">
        <v>951</v>
      </c>
      <c r="C18" t="s">
        <v>44</v>
      </c>
      <c r="D18">
        <v>16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4</v>
      </c>
      <c r="L18">
        <v>0</v>
      </c>
      <c r="M18">
        <v>107</v>
      </c>
      <c r="N18">
        <v>72</v>
      </c>
      <c r="O18">
        <v>769</v>
      </c>
      <c r="P18">
        <v>3</v>
      </c>
      <c r="Q18">
        <v>0</v>
      </c>
      <c r="R18">
        <v>0</v>
      </c>
      <c r="S18">
        <v>169.3</v>
      </c>
      <c r="T18">
        <v>0.164615384615385</v>
      </c>
      <c r="U18">
        <v>4</v>
      </c>
      <c r="V18">
        <v>10.6805555555556</v>
      </c>
      <c r="Y18">
        <v>131.30000000000001</v>
      </c>
    </row>
    <row r="19" spans="1:25" x14ac:dyDescent="0.2">
      <c r="A19" t="s">
        <v>750</v>
      </c>
      <c r="B19" t="s">
        <v>951</v>
      </c>
      <c r="C19" t="s">
        <v>44</v>
      </c>
      <c r="D19">
        <v>10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8</v>
      </c>
      <c r="L19">
        <v>0</v>
      </c>
      <c r="M19">
        <v>89</v>
      </c>
      <c r="N19">
        <v>66</v>
      </c>
      <c r="O19">
        <v>752</v>
      </c>
      <c r="P19">
        <v>4</v>
      </c>
      <c r="Q19">
        <v>0</v>
      </c>
      <c r="R19">
        <v>0</v>
      </c>
      <c r="S19">
        <v>164</v>
      </c>
      <c r="T19">
        <v>0.13692307692307701</v>
      </c>
      <c r="U19">
        <v>8</v>
      </c>
      <c r="V19">
        <v>11.3939393939394</v>
      </c>
      <c r="Y19">
        <v>133</v>
      </c>
    </row>
    <row r="20" spans="1:25" x14ac:dyDescent="0.2">
      <c r="A20" t="s">
        <v>968</v>
      </c>
      <c r="B20" t="s">
        <v>951</v>
      </c>
      <c r="C20" t="s">
        <v>44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21</v>
      </c>
      <c r="N20">
        <v>10</v>
      </c>
      <c r="O20">
        <v>89</v>
      </c>
      <c r="P20">
        <v>0</v>
      </c>
      <c r="Q20">
        <v>0</v>
      </c>
      <c r="R20">
        <v>0</v>
      </c>
      <c r="S20">
        <v>18.899999999999999</v>
      </c>
      <c r="T20">
        <v>3.2307692307692301E-2</v>
      </c>
      <c r="V20">
        <v>8.9</v>
      </c>
      <c r="Y20">
        <v>13.9</v>
      </c>
    </row>
    <row r="21" spans="1:25" x14ac:dyDescent="0.2">
      <c r="A21" t="s">
        <v>38</v>
      </c>
      <c r="B21" t="s">
        <v>951</v>
      </c>
      <c r="C21" t="s">
        <v>44</v>
      </c>
      <c r="D21">
        <v>13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93</v>
      </c>
      <c r="N21">
        <v>63</v>
      </c>
      <c r="O21">
        <v>895</v>
      </c>
      <c r="P21">
        <v>4</v>
      </c>
      <c r="Q21">
        <v>0</v>
      </c>
      <c r="R21">
        <v>0</v>
      </c>
      <c r="S21">
        <v>176.5</v>
      </c>
      <c r="T21">
        <v>0.14307692307692299</v>
      </c>
      <c r="V21">
        <v>14.2063492063492</v>
      </c>
      <c r="Y21">
        <v>145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951</v>
      </c>
      <c r="B31">
        <v>6315</v>
      </c>
      <c r="C31">
        <v>4791</v>
      </c>
      <c r="D31">
        <v>404</v>
      </c>
      <c r="E31">
        <v>1524</v>
      </c>
      <c r="F31">
        <v>15</v>
      </c>
      <c r="G31">
        <v>1630.14</v>
      </c>
      <c r="H31">
        <v>711</v>
      </c>
      <c r="I31">
        <v>0.68213783403656802</v>
      </c>
      <c r="J31">
        <v>26</v>
      </c>
      <c r="K31">
        <v>10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969</v>
      </c>
      <c r="B36" t="s">
        <v>27</v>
      </c>
      <c r="C36">
        <v>22</v>
      </c>
      <c r="D36">
        <v>0</v>
      </c>
      <c r="E36" t="s">
        <v>77</v>
      </c>
      <c r="F36" t="s">
        <v>951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970</v>
      </c>
      <c r="B37" t="s">
        <v>27</v>
      </c>
      <c r="C37">
        <v>25</v>
      </c>
      <c r="D37">
        <v>3</v>
      </c>
      <c r="E37" t="s">
        <v>201</v>
      </c>
      <c r="F37" t="s">
        <v>951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971</v>
      </c>
      <c r="B38" t="s">
        <v>27</v>
      </c>
      <c r="C38">
        <v>27</v>
      </c>
      <c r="D38">
        <v>4</v>
      </c>
      <c r="E38" t="s">
        <v>556</v>
      </c>
      <c r="F38" t="s">
        <v>951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972</v>
      </c>
      <c r="B39" t="s">
        <v>32</v>
      </c>
      <c r="C39">
        <v>24</v>
      </c>
      <c r="D39">
        <v>0</v>
      </c>
      <c r="E39" t="s">
        <v>973</v>
      </c>
      <c r="F39" t="s">
        <v>951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974</v>
      </c>
      <c r="B40" t="s">
        <v>32</v>
      </c>
      <c r="C40">
        <v>28</v>
      </c>
      <c r="D40">
        <v>6</v>
      </c>
      <c r="E40" t="s">
        <v>975</v>
      </c>
      <c r="F40" t="s">
        <v>951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976</v>
      </c>
      <c r="B41" t="s">
        <v>32</v>
      </c>
      <c r="C41">
        <v>24</v>
      </c>
      <c r="D41">
        <v>0</v>
      </c>
      <c r="E41" t="s">
        <v>977</v>
      </c>
      <c r="F41" t="s">
        <v>951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978</v>
      </c>
      <c r="B42" t="s">
        <v>32</v>
      </c>
      <c r="C42">
        <v>25</v>
      </c>
      <c r="D42">
        <v>3</v>
      </c>
      <c r="E42" t="s">
        <v>473</v>
      </c>
      <c r="F42" t="s">
        <v>951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979</v>
      </c>
      <c r="B43" t="s">
        <v>32</v>
      </c>
      <c r="C43">
        <v>24</v>
      </c>
      <c r="D43">
        <v>2</v>
      </c>
      <c r="E43" t="s">
        <v>615</v>
      </c>
      <c r="F43" t="s">
        <v>951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980</v>
      </c>
      <c r="B44" t="s">
        <v>32</v>
      </c>
      <c r="C44">
        <v>21</v>
      </c>
      <c r="D44">
        <v>0</v>
      </c>
      <c r="E44" t="s">
        <v>454</v>
      </c>
      <c r="F44" t="s">
        <v>951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981</v>
      </c>
      <c r="B45" t="s">
        <v>44</v>
      </c>
      <c r="C45">
        <v>31</v>
      </c>
      <c r="D45">
        <v>10</v>
      </c>
      <c r="E45" t="s">
        <v>422</v>
      </c>
      <c r="F45" t="s">
        <v>951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982</v>
      </c>
      <c r="B46" t="s">
        <v>44</v>
      </c>
      <c r="C46">
        <v>24</v>
      </c>
      <c r="D46">
        <v>0</v>
      </c>
      <c r="E46" t="s">
        <v>79</v>
      </c>
      <c r="F46" t="s">
        <v>951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983</v>
      </c>
      <c r="B47" t="s">
        <v>44</v>
      </c>
      <c r="C47">
        <v>22</v>
      </c>
      <c r="D47">
        <v>0</v>
      </c>
      <c r="E47" t="s">
        <v>77</v>
      </c>
      <c r="F47" t="s">
        <v>951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984</v>
      </c>
      <c r="B48" t="s">
        <v>44</v>
      </c>
      <c r="C48">
        <v>27</v>
      </c>
      <c r="D48">
        <v>2</v>
      </c>
      <c r="E48" t="s">
        <v>985</v>
      </c>
      <c r="F48" t="s">
        <v>951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986</v>
      </c>
      <c r="B49" t="s">
        <v>44</v>
      </c>
      <c r="C49">
        <v>26</v>
      </c>
      <c r="D49">
        <v>3</v>
      </c>
      <c r="E49" t="s">
        <v>512</v>
      </c>
      <c r="F49" t="s">
        <v>951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987</v>
      </c>
      <c r="B50" t="s">
        <v>44</v>
      </c>
      <c r="C50">
        <v>27</v>
      </c>
      <c r="D50">
        <v>2</v>
      </c>
      <c r="E50" t="s">
        <v>293</v>
      </c>
      <c r="F50" t="s">
        <v>951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988</v>
      </c>
      <c r="B51" t="s">
        <v>44</v>
      </c>
      <c r="C51">
        <v>21</v>
      </c>
      <c r="D51">
        <v>0</v>
      </c>
      <c r="E51" t="s">
        <v>77</v>
      </c>
      <c r="F51" t="s">
        <v>951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989</v>
      </c>
      <c r="B52" t="s">
        <v>44</v>
      </c>
      <c r="C52">
        <v>23</v>
      </c>
      <c r="D52">
        <v>2</v>
      </c>
      <c r="E52" t="s">
        <v>141</v>
      </c>
      <c r="F52" t="s">
        <v>951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990</v>
      </c>
      <c r="B53" t="s">
        <v>44</v>
      </c>
      <c r="C53">
        <v>27</v>
      </c>
      <c r="D53">
        <v>3</v>
      </c>
      <c r="E53" t="s">
        <v>556</v>
      </c>
      <c r="F53" t="s">
        <v>951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991</v>
      </c>
      <c r="B54" t="s">
        <v>44</v>
      </c>
      <c r="C54">
        <v>28</v>
      </c>
      <c r="D54">
        <v>6</v>
      </c>
      <c r="E54" t="s">
        <v>460</v>
      </c>
      <c r="F54" t="s">
        <v>951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992</v>
      </c>
      <c r="B55" t="s">
        <v>44</v>
      </c>
      <c r="C55">
        <v>23</v>
      </c>
      <c r="D55">
        <v>0</v>
      </c>
      <c r="E55" t="s">
        <v>744</v>
      </c>
      <c r="F55" t="s">
        <v>951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993</v>
      </c>
      <c r="B56" t="s">
        <v>39</v>
      </c>
      <c r="C56">
        <v>29</v>
      </c>
      <c r="D56">
        <v>6</v>
      </c>
      <c r="E56" t="s">
        <v>300</v>
      </c>
      <c r="F56" t="s">
        <v>951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994</v>
      </c>
      <c r="B57" t="s">
        <v>39</v>
      </c>
      <c r="C57">
        <v>22</v>
      </c>
      <c r="D57">
        <v>0</v>
      </c>
      <c r="E57" t="s">
        <v>473</v>
      </c>
      <c r="F57" t="s">
        <v>951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995</v>
      </c>
      <c r="B58" t="s">
        <v>39</v>
      </c>
      <c r="C58">
        <v>25</v>
      </c>
      <c r="D58">
        <v>1</v>
      </c>
      <c r="E58" t="s">
        <v>201</v>
      </c>
      <c r="F58" t="s">
        <v>951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996</v>
      </c>
      <c r="B59" t="s">
        <v>39</v>
      </c>
      <c r="C59">
        <v>24</v>
      </c>
      <c r="D59">
        <v>2</v>
      </c>
      <c r="E59" t="s">
        <v>171</v>
      </c>
      <c r="F59" t="s">
        <v>951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997</v>
      </c>
      <c r="B60" t="s">
        <v>39</v>
      </c>
      <c r="C60">
        <v>25</v>
      </c>
      <c r="D60">
        <v>3</v>
      </c>
      <c r="E60" t="s">
        <v>998</v>
      </c>
      <c r="F60" t="s">
        <v>951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999</v>
      </c>
      <c r="B61" t="s">
        <v>39</v>
      </c>
      <c r="C61">
        <v>24</v>
      </c>
      <c r="D61">
        <v>0</v>
      </c>
      <c r="E61" t="s">
        <v>93</v>
      </c>
      <c r="F61" t="s">
        <v>951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AB36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310</v>
      </c>
      <c r="B2" t="s">
        <v>1000</v>
      </c>
      <c r="C2" t="s">
        <v>27</v>
      </c>
      <c r="D2">
        <v>5</v>
      </c>
      <c r="E2">
        <v>129</v>
      </c>
      <c r="F2">
        <v>82</v>
      </c>
      <c r="G2">
        <v>850</v>
      </c>
      <c r="H2">
        <v>4</v>
      </c>
      <c r="I2">
        <v>2</v>
      </c>
      <c r="J2">
        <v>15</v>
      </c>
      <c r="K2">
        <v>37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47.7</v>
      </c>
      <c r="T2">
        <v>0</v>
      </c>
      <c r="U2">
        <v>2.4666666666666699</v>
      </c>
      <c r="W2">
        <v>0.63565891472868197</v>
      </c>
      <c r="X2">
        <v>3.1007751937984499E-2</v>
      </c>
      <c r="Y2">
        <v>49.7</v>
      </c>
    </row>
    <row r="3" spans="1:25" x14ac:dyDescent="0.2">
      <c r="A3" t="s">
        <v>1001</v>
      </c>
      <c r="B3" t="s">
        <v>1000</v>
      </c>
      <c r="C3" t="s">
        <v>27</v>
      </c>
      <c r="D3">
        <v>5</v>
      </c>
      <c r="E3">
        <v>34</v>
      </c>
      <c r="F3">
        <v>19</v>
      </c>
      <c r="G3">
        <v>161</v>
      </c>
      <c r="H3">
        <v>1</v>
      </c>
      <c r="I3">
        <v>2</v>
      </c>
      <c r="J3">
        <v>19</v>
      </c>
      <c r="K3">
        <v>90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15.44</v>
      </c>
      <c r="T3">
        <v>0</v>
      </c>
      <c r="U3">
        <v>4.7368421052631602</v>
      </c>
      <c r="W3">
        <v>0.55882352941176505</v>
      </c>
      <c r="X3">
        <v>2.9411764705882401E-2</v>
      </c>
      <c r="Y3">
        <v>17.440000000000001</v>
      </c>
    </row>
    <row r="4" spans="1:25" x14ac:dyDescent="0.2">
      <c r="A4" t="s">
        <v>1002</v>
      </c>
      <c r="B4" t="s">
        <v>1000</v>
      </c>
      <c r="C4" t="s">
        <v>27</v>
      </c>
      <c r="D4">
        <v>2</v>
      </c>
      <c r="E4">
        <v>62</v>
      </c>
      <c r="F4">
        <v>38</v>
      </c>
      <c r="G4">
        <v>390</v>
      </c>
      <c r="H4">
        <v>1</v>
      </c>
      <c r="I4">
        <v>3</v>
      </c>
      <c r="J4">
        <v>8</v>
      </c>
      <c r="K4">
        <v>32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14.8</v>
      </c>
      <c r="T4">
        <v>0</v>
      </c>
      <c r="U4">
        <v>4</v>
      </c>
      <c r="W4">
        <v>0.61290322580645196</v>
      </c>
      <c r="X4">
        <v>1.6129032258064498E-2</v>
      </c>
      <c r="Y4">
        <v>17.8</v>
      </c>
    </row>
    <row r="5" spans="1:25" x14ac:dyDescent="0.2">
      <c r="A5" t="s">
        <v>1003</v>
      </c>
      <c r="B5" t="s">
        <v>1000</v>
      </c>
      <c r="C5" t="s">
        <v>27</v>
      </c>
      <c r="D5">
        <v>9</v>
      </c>
      <c r="E5">
        <v>303</v>
      </c>
      <c r="F5">
        <v>206</v>
      </c>
      <c r="G5">
        <v>2087</v>
      </c>
      <c r="H5">
        <v>10</v>
      </c>
      <c r="I5">
        <v>8</v>
      </c>
      <c r="J5">
        <v>13</v>
      </c>
      <c r="K5">
        <v>9</v>
      </c>
      <c r="L5">
        <v>1</v>
      </c>
      <c r="M5">
        <v>0</v>
      </c>
      <c r="N5">
        <v>0</v>
      </c>
      <c r="O5">
        <v>0</v>
      </c>
      <c r="P5">
        <v>0</v>
      </c>
      <c r="Q5">
        <v>3</v>
      </c>
      <c r="R5">
        <v>0</v>
      </c>
      <c r="S5">
        <v>108.38</v>
      </c>
      <c r="T5">
        <v>0</v>
      </c>
      <c r="U5">
        <v>0.69230769230769196</v>
      </c>
      <c r="W5">
        <v>0.67986798679867999</v>
      </c>
      <c r="X5">
        <v>3.3003300330033E-2</v>
      </c>
      <c r="Y5">
        <v>116.38</v>
      </c>
    </row>
    <row r="6" spans="1:25" x14ac:dyDescent="0.2">
      <c r="A6" t="s">
        <v>1004</v>
      </c>
      <c r="B6" t="s">
        <v>1000</v>
      </c>
      <c r="C6" t="s">
        <v>32</v>
      </c>
      <c r="D6">
        <v>15</v>
      </c>
      <c r="E6">
        <v>0</v>
      </c>
      <c r="F6">
        <v>0</v>
      </c>
      <c r="G6">
        <v>0</v>
      </c>
      <c r="H6">
        <v>0</v>
      </c>
      <c r="I6">
        <v>0</v>
      </c>
      <c r="J6">
        <v>188</v>
      </c>
      <c r="K6">
        <v>786</v>
      </c>
      <c r="L6">
        <v>7</v>
      </c>
      <c r="M6">
        <v>18</v>
      </c>
      <c r="N6">
        <v>13</v>
      </c>
      <c r="O6">
        <v>117</v>
      </c>
      <c r="P6">
        <v>0</v>
      </c>
      <c r="Q6">
        <v>2</v>
      </c>
      <c r="R6">
        <v>0</v>
      </c>
      <c r="S6">
        <v>141.30000000000001</v>
      </c>
      <c r="T6">
        <v>2.53164556962025E-2</v>
      </c>
      <c r="U6">
        <v>4.18085106382979</v>
      </c>
      <c r="V6">
        <v>9</v>
      </c>
      <c r="Y6">
        <v>134.80000000000001</v>
      </c>
    </row>
    <row r="7" spans="1:25" x14ac:dyDescent="0.2">
      <c r="A7" t="s">
        <v>1005</v>
      </c>
      <c r="B7" t="s">
        <v>1000</v>
      </c>
      <c r="C7" t="s">
        <v>32</v>
      </c>
      <c r="D7">
        <v>10</v>
      </c>
      <c r="E7">
        <v>0</v>
      </c>
      <c r="F7">
        <v>0</v>
      </c>
      <c r="G7">
        <v>0</v>
      </c>
      <c r="H7">
        <v>0</v>
      </c>
      <c r="I7">
        <v>0</v>
      </c>
      <c r="J7">
        <v>70</v>
      </c>
      <c r="K7">
        <v>283</v>
      </c>
      <c r="L7">
        <v>3</v>
      </c>
      <c r="M7">
        <v>22</v>
      </c>
      <c r="N7">
        <v>17</v>
      </c>
      <c r="O7">
        <v>102</v>
      </c>
      <c r="P7">
        <v>0</v>
      </c>
      <c r="Q7">
        <v>0</v>
      </c>
      <c r="R7">
        <v>0</v>
      </c>
      <c r="S7">
        <v>73.5</v>
      </c>
      <c r="T7">
        <v>3.0942334739803099E-2</v>
      </c>
      <c r="U7">
        <v>4.04285714285714</v>
      </c>
      <c r="V7">
        <v>6</v>
      </c>
      <c r="Y7">
        <v>65</v>
      </c>
    </row>
    <row r="8" spans="1:25" x14ac:dyDescent="0.2">
      <c r="A8" t="s">
        <v>1006</v>
      </c>
      <c r="B8" t="s">
        <v>1000</v>
      </c>
      <c r="C8" t="s">
        <v>32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J8">
        <v>35</v>
      </c>
      <c r="K8">
        <v>139</v>
      </c>
      <c r="L8">
        <v>0</v>
      </c>
      <c r="M8">
        <v>12</v>
      </c>
      <c r="N8">
        <v>9</v>
      </c>
      <c r="O8">
        <v>76</v>
      </c>
      <c r="P8">
        <v>0</v>
      </c>
      <c r="Q8">
        <v>0</v>
      </c>
      <c r="R8">
        <v>0</v>
      </c>
      <c r="S8">
        <v>30.5</v>
      </c>
      <c r="T8">
        <v>1.68776371308017E-2</v>
      </c>
      <c r="U8">
        <v>3.9714285714285702</v>
      </c>
      <c r="V8">
        <v>8.4444444444444393</v>
      </c>
      <c r="Y8">
        <v>26</v>
      </c>
    </row>
    <row r="9" spans="1:25" x14ac:dyDescent="0.2">
      <c r="A9" t="s">
        <v>49</v>
      </c>
      <c r="B9" t="s">
        <v>1000</v>
      </c>
      <c r="C9" t="s">
        <v>32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18</v>
      </c>
      <c r="K9">
        <v>81</v>
      </c>
      <c r="L9">
        <v>1</v>
      </c>
      <c r="M9">
        <v>6</v>
      </c>
      <c r="N9">
        <v>5</v>
      </c>
      <c r="O9">
        <v>37</v>
      </c>
      <c r="P9">
        <v>0</v>
      </c>
      <c r="Q9">
        <v>0</v>
      </c>
      <c r="R9">
        <v>0</v>
      </c>
      <c r="S9">
        <v>22.8</v>
      </c>
      <c r="T9">
        <v>8.4388185654008397E-3</v>
      </c>
      <c r="U9">
        <v>4.5</v>
      </c>
      <c r="V9">
        <v>7.4</v>
      </c>
      <c r="Y9">
        <v>20.3</v>
      </c>
    </row>
    <row r="10" spans="1:25" x14ac:dyDescent="0.2">
      <c r="A10" t="s">
        <v>1007</v>
      </c>
      <c r="B10" t="s">
        <v>1000</v>
      </c>
      <c r="C10" t="s">
        <v>32</v>
      </c>
      <c r="D10">
        <v>2</v>
      </c>
      <c r="E10">
        <v>0</v>
      </c>
      <c r="F10">
        <v>0</v>
      </c>
      <c r="G10">
        <v>0</v>
      </c>
      <c r="H10">
        <v>0</v>
      </c>
      <c r="I10">
        <v>0</v>
      </c>
      <c r="J10">
        <v>9</v>
      </c>
      <c r="K10">
        <v>21</v>
      </c>
      <c r="L10">
        <v>0</v>
      </c>
      <c r="M10">
        <v>5</v>
      </c>
      <c r="N10">
        <v>5</v>
      </c>
      <c r="O10">
        <v>29</v>
      </c>
      <c r="P10">
        <v>0</v>
      </c>
      <c r="Q10">
        <v>0</v>
      </c>
      <c r="R10">
        <v>0</v>
      </c>
      <c r="S10">
        <v>10</v>
      </c>
      <c r="T10">
        <v>7.0323488045007003E-3</v>
      </c>
      <c r="U10">
        <v>2.3333333333333299</v>
      </c>
      <c r="V10">
        <v>5.8</v>
      </c>
      <c r="Y10">
        <v>7.5</v>
      </c>
    </row>
    <row r="11" spans="1:25" x14ac:dyDescent="0.2">
      <c r="A11" t="s">
        <v>1008</v>
      </c>
      <c r="B11" t="s">
        <v>1000</v>
      </c>
      <c r="C11" t="s">
        <v>39</v>
      </c>
      <c r="D11">
        <v>7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11</v>
      </c>
      <c r="N11">
        <v>7</v>
      </c>
      <c r="O11">
        <v>109</v>
      </c>
      <c r="P11">
        <v>0</v>
      </c>
      <c r="Q11">
        <v>0</v>
      </c>
      <c r="R11">
        <v>0</v>
      </c>
      <c r="S11">
        <v>17.899999999999999</v>
      </c>
      <c r="T11">
        <v>1.5471167369901499E-2</v>
      </c>
      <c r="V11">
        <v>15.5714285714286</v>
      </c>
      <c r="Y11">
        <v>14.4</v>
      </c>
    </row>
    <row r="12" spans="1:25" x14ac:dyDescent="0.2">
      <c r="A12" t="s">
        <v>1009</v>
      </c>
      <c r="B12" t="s">
        <v>1000</v>
      </c>
      <c r="C12" t="s">
        <v>39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2</v>
      </c>
      <c r="O12">
        <v>35</v>
      </c>
      <c r="P12">
        <v>0</v>
      </c>
      <c r="Q12">
        <v>0</v>
      </c>
      <c r="R12">
        <v>0</v>
      </c>
      <c r="S12">
        <v>5.5</v>
      </c>
      <c r="T12">
        <v>2.81293952180028E-3</v>
      </c>
      <c r="V12">
        <v>17.5</v>
      </c>
      <c r="Y12">
        <v>4.5</v>
      </c>
    </row>
    <row r="13" spans="1:25" x14ac:dyDescent="0.2">
      <c r="A13" t="s">
        <v>1010</v>
      </c>
      <c r="B13" t="s">
        <v>1000</v>
      </c>
      <c r="C13" t="s">
        <v>39</v>
      </c>
      <c r="D13">
        <v>16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108</v>
      </c>
      <c r="N13">
        <v>72</v>
      </c>
      <c r="O13">
        <v>620</v>
      </c>
      <c r="P13">
        <v>3</v>
      </c>
      <c r="Q13">
        <v>0</v>
      </c>
      <c r="R13">
        <v>0</v>
      </c>
      <c r="S13">
        <v>152</v>
      </c>
      <c r="T13">
        <v>0.151898734177215</v>
      </c>
      <c r="V13">
        <v>8.6111111111111107</v>
      </c>
      <c r="Y13">
        <v>116</v>
      </c>
    </row>
    <row r="14" spans="1:25" x14ac:dyDescent="0.2">
      <c r="A14" t="s">
        <v>1011</v>
      </c>
      <c r="B14" t="s">
        <v>1000</v>
      </c>
      <c r="C14" t="s">
        <v>44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52</v>
      </c>
      <c r="N14">
        <v>33</v>
      </c>
      <c r="O14">
        <v>339</v>
      </c>
      <c r="P14">
        <v>3</v>
      </c>
      <c r="Q14">
        <v>0</v>
      </c>
      <c r="R14">
        <v>0</v>
      </c>
      <c r="S14">
        <v>84.9</v>
      </c>
      <c r="T14">
        <v>7.3136427566807299E-2</v>
      </c>
      <c r="V14">
        <v>10.2727272727273</v>
      </c>
      <c r="Y14">
        <v>68.400000000000006</v>
      </c>
    </row>
    <row r="15" spans="1:25" x14ac:dyDescent="0.2">
      <c r="A15" t="s">
        <v>1012</v>
      </c>
      <c r="B15" t="s">
        <v>1000</v>
      </c>
      <c r="C15" t="s">
        <v>44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5.6258790436005601E-3</v>
      </c>
      <c r="V15">
        <v>6.5</v>
      </c>
      <c r="Y15">
        <v>2.2999999999999998</v>
      </c>
    </row>
    <row r="16" spans="1:25" x14ac:dyDescent="0.2">
      <c r="A16" t="s">
        <v>1013</v>
      </c>
      <c r="B16" t="s">
        <v>1000</v>
      </c>
      <c r="C16" t="s">
        <v>44</v>
      </c>
      <c r="D16">
        <v>16</v>
      </c>
      <c r="E16">
        <v>0</v>
      </c>
      <c r="F16">
        <v>0</v>
      </c>
      <c r="G16">
        <v>0</v>
      </c>
      <c r="H16">
        <v>0</v>
      </c>
      <c r="I16">
        <v>0</v>
      </c>
      <c r="J16">
        <v>17</v>
      </c>
      <c r="K16">
        <v>80</v>
      </c>
      <c r="L16">
        <v>0</v>
      </c>
      <c r="M16">
        <v>32</v>
      </c>
      <c r="N16">
        <v>24</v>
      </c>
      <c r="O16">
        <v>156</v>
      </c>
      <c r="P16">
        <v>0</v>
      </c>
      <c r="Q16">
        <v>0</v>
      </c>
      <c r="R16">
        <v>0</v>
      </c>
      <c r="S16">
        <v>47.6</v>
      </c>
      <c r="T16">
        <v>4.5007032348804502E-2</v>
      </c>
      <c r="U16">
        <v>4.7058823529411802</v>
      </c>
      <c r="V16">
        <v>6.5</v>
      </c>
      <c r="Y16">
        <v>35.6</v>
      </c>
    </row>
    <row r="17" spans="1:25" x14ac:dyDescent="0.2">
      <c r="A17" t="s">
        <v>1014</v>
      </c>
      <c r="B17" t="s">
        <v>1000</v>
      </c>
      <c r="C17" t="s">
        <v>44</v>
      </c>
      <c r="D17">
        <v>14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17</v>
      </c>
      <c r="L17">
        <v>1</v>
      </c>
      <c r="M17">
        <v>61</v>
      </c>
      <c r="N17">
        <v>39</v>
      </c>
      <c r="O17">
        <v>376</v>
      </c>
      <c r="P17">
        <v>0</v>
      </c>
      <c r="Q17">
        <v>0</v>
      </c>
      <c r="R17">
        <v>0</v>
      </c>
      <c r="S17">
        <v>84.3</v>
      </c>
      <c r="T17">
        <v>8.5794655414908605E-2</v>
      </c>
      <c r="U17">
        <v>17</v>
      </c>
      <c r="V17">
        <v>9.6410256410256405</v>
      </c>
      <c r="Y17">
        <v>64.8</v>
      </c>
    </row>
    <row r="18" spans="1:25" x14ac:dyDescent="0.2">
      <c r="A18" t="s">
        <v>1015</v>
      </c>
      <c r="B18" t="s">
        <v>1000</v>
      </c>
      <c r="C18" t="s">
        <v>44</v>
      </c>
      <c r="D18">
        <v>9</v>
      </c>
      <c r="E18">
        <v>1</v>
      </c>
      <c r="F18">
        <v>0</v>
      </c>
      <c r="G18">
        <v>0</v>
      </c>
      <c r="H18">
        <v>0</v>
      </c>
      <c r="I18">
        <v>0</v>
      </c>
      <c r="J18">
        <v>9</v>
      </c>
      <c r="K18">
        <v>52</v>
      </c>
      <c r="L18">
        <v>1</v>
      </c>
      <c r="M18">
        <v>98</v>
      </c>
      <c r="N18">
        <v>75</v>
      </c>
      <c r="O18">
        <v>812</v>
      </c>
      <c r="P18">
        <v>6</v>
      </c>
      <c r="Q18">
        <v>0</v>
      </c>
      <c r="R18">
        <v>0</v>
      </c>
      <c r="S18">
        <v>201.4</v>
      </c>
      <c r="T18">
        <v>0.137834036568214</v>
      </c>
      <c r="U18">
        <v>5.7777777777777803</v>
      </c>
      <c r="V18">
        <v>10.8266666666667</v>
      </c>
      <c r="W18">
        <v>0</v>
      </c>
      <c r="X18">
        <v>0</v>
      </c>
      <c r="Y18">
        <v>165.9</v>
      </c>
    </row>
    <row r="19" spans="1:25" x14ac:dyDescent="0.2">
      <c r="A19" t="s">
        <v>1016</v>
      </c>
      <c r="B19" t="s">
        <v>1000</v>
      </c>
      <c r="C19" t="s">
        <v>44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</v>
      </c>
      <c r="N19">
        <v>1</v>
      </c>
      <c r="O19">
        <v>6</v>
      </c>
      <c r="P19">
        <v>0</v>
      </c>
      <c r="Q19">
        <v>0</v>
      </c>
      <c r="R19">
        <v>0</v>
      </c>
      <c r="S19">
        <v>1.6</v>
      </c>
      <c r="T19">
        <v>1.40646976090014E-3</v>
      </c>
      <c r="V19">
        <v>6</v>
      </c>
      <c r="Y19">
        <v>1.1000000000000001</v>
      </c>
    </row>
    <row r="20" spans="1:25" x14ac:dyDescent="0.2">
      <c r="A20" t="s">
        <v>1017</v>
      </c>
      <c r="B20" t="s">
        <v>1000</v>
      </c>
      <c r="C20" t="s">
        <v>44</v>
      </c>
      <c r="D20">
        <v>2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7.0323488045007003E-3</v>
      </c>
      <c r="Y20">
        <v>0</v>
      </c>
    </row>
    <row r="21" spans="1:25" x14ac:dyDescent="0.2">
      <c r="A21" t="s">
        <v>1018</v>
      </c>
      <c r="B21" t="s">
        <v>1000</v>
      </c>
      <c r="C21" t="s">
        <v>44</v>
      </c>
      <c r="D21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9</v>
      </c>
      <c r="K21">
        <v>34</v>
      </c>
      <c r="L21">
        <v>1</v>
      </c>
      <c r="M21">
        <v>35</v>
      </c>
      <c r="N21">
        <v>18</v>
      </c>
      <c r="O21">
        <v>298</v>
      </c>
      <c r="P21">
        <v>1</v>
      </c>
      <c r="Q21">
        <v>0</v>
      </c>
      <c r="R21">
        <v>0</v>
      </c>
      <c r="S21">
        <v>63.2</v>
      </c>
      <c r="T21">
        <v>4.92264416315049E-2</v>
      </c>
      <c r="U21">
        <v>3.7777777777777799</v>
      </c>
      <c r="V21">
        <v>16.5555555555556</v>
      </c>
      <c r="Y21">
        <v>54.2</v>
      </c>
    </row>
    <row r="22" spans="1:25" x14ac:dyDescent="0.2">
      <c r="A22" t="s">
        <v>1019</v>
      </c>
      <c r="B22" t="s">
        <v>1000</v>
      </c>
      <c r="C22" t="s">
        <v>44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44</v>
      </c>
      <c r="N22">
        <v>24</v>
      </c>
      <c r="O22">
        <v>369</v>
      </c>
      <c r="P22">
        <v>3</v>
      </c>
      <c r="Q22">
        <v>0</v>
      </c>
      <c r="R22">
        <v>0</v>
      </c>
      <c r="S22">
        <v>78.900000000000006</v>
      </c>
      <c r="T22">
        <v>6.1884669479606198E-2</v>
      </c>
      <c r="V22">
        <v>15.375</v>
      </c>
      <c r="Y22">
        <v>66.900000000000006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1000</v>
      </c>
      <c r="B31">
        <v>5149</v>
      </c>
      <c r="C31">
        <v>3488</v>
      </c>
      <c r="D31">
        <v>411</v>
      </c>
      <c r="E31">
        <v>1661</v>
      </c>
      <c r="F31">
        <v>15</v>
      </c>
      <c r="G31">
        <v>1205.02</v>
      </c>
      <c r="H31">
        <v>529</v>
      </c>
      <c r="I31">
        <v>0.65217391304347805</v>
      </c>
      <c r="J31">
        <v>16</v>
      </c>
      <c r="K31">
        <v>15</v>
      </c>
      <c r="L31">
        <v>7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56</v>
      </c>
      <c r="B36" t="s">
        <v>56</v>
      </c>
      <c r="C36" t="s">
        <v>56</v>
      </c>
      <c r="D36" t="s">
        <v>56</v>
      </c>
      <c r="E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56</v>
      </c>
      <c r="M36" t="s">
        <v>56</v>
      </c>
      <c r="N36" t="s">
        <v>56</v>
      </c>
      <c r="O36" t="s">
        <v>56</v>
      </c>
      <c r="P36" t="s">
        <v>56</v>
      </c>
      <c r="Q36" t="s">
        <v>56</v>
      </c>
      <c r="R36" t="s">
        <v>56</v>
      </c>
      <c r="S36" t="s">
        <v>56</v>
      </c>
      <c r="T36" t="s">
        <v>56</v>
      </c>
      <c r="U36" t="s">
        <v>56</v>
      </c>
      <c r="V36" t="s">
        <v>56</v>
      </c>
      <c r="W36" t="s">
        <v>56</v>
      </c>
      <c r="X36" t="s">
        <v>56</v>
      </c>
      <c r="Y36" t="s">
        <v>56</v>
      </c>
      <c r="Z36" t="s">
        <v>56</v>
      </c>
      <c r="AA36" t="s">
        <v>56</v>
      </c>
      <c r="AB36" t="s">
        <v>56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1020</v>
      </c>
      <c r="B2" t="s">
        <v>1021</v>
      </c>
      <c r="C2" t="s">
        <v>112</v>
      </c>
      <c r="D2">
        <v>6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6</v>
      </c>
      <c r="N2">
        <v>5</v>
      </c>
      <c r="O2">
        <v>10</v>
      </c>
      <c r="P2">
        <v>0</v>
      </c>
      <c r="Q2">
        <v>0</v>
      </c>
      <c r="R2">
        <v>0</v>
      </c>
      <c r="S2">
        <v>6</v>
      </c>
      <c r="T2">
        <v>1.13421550094518E-2</v>
      </c>
      <c r="V2">
        <v>2</v>
      </c>
      <c r="Y2">
        <v>3.5</v>
      </c>
    </row>
    <row r="3" spans="1:25" x14ac:dyDescent="0.2">
      <c r="A3" t="s">
        <v>1022</v>
      </c>
      <c r="B3" t="s">
        <v>1021</v>
      </c>
      <c r="C3" t="s">
        <v>27</v>
      </c>
      <c r="D3">
        <v>15</v>
      </c>
      <c r="E3">
        <v>502</v>
      </c>
      <c r="F3">
        <v>305</v>
      </c>
      <c r="G3">
        <v>3522</v>
      </c>
      <c r="H3">
        <v>24</v>
      </c>
      <c r="I3">
        <v>14</v>
      </c>
      <c r="J3">
        <v>24</v>
      </c>
      <c r="K3">
        <v>102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219.08</v>
      </c>
      <c r="T3">
        <v>0</v>
      </c>
      <c r="U3">
        <v>4.25</v>
      </c>
      <c r="W3">
        <v>0.60756972111553798</v>
      </c>
      <c r="X3">
        <v>4.7808764940239001E-2</v>
      </c>
      <c r="Y3">
        <v>233.08</v>
      </c>
    </row>
    <row r="4" spans="1:25" x14ac:dyDescent="0.2">
      <c r="A4" t="s">
        <v>1023</v>
      </c>
      <c r="B4" t="s">
        <v>1021</v>
      </c>
      <c r="C4" t="s">
        <v>27</v>
      </c>
      <c r="D4">
        <v>3</v>
      </c>
      <c r="E4">
        <v>83</v>
      </c>
      <c r="F4">
        <v>53</v>
      </c>
      <c r="G4">
        <v>656</v>
      </c>
      <c r="H4">
        <v>4</v>
      </c>
      <c r="I4">
        <v>3</v>
      </c>
      <c r="J4">
        <v>14</v>
      </c>
      <c r="K4">
        <v>84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42.64</v>
      </c>
      <c r="T4">
        <v>0</v>
      </c>
      <c r="U4">
        <v>6</v>
      </c>
      <c r="W4">
        <v>0.63855421686747005</v>
      </c>
      <c r="X4">
        <v>4.81927710843374E-2</v>
      </c>
      <c r="Y4">
        <v>45.64</v>
      </c>
    </row>
    <row r="5" spans="1:25" x14ac:dyDescent="0.2">
      <c r="A5" t="s">
        <v>1024</v>
      </c>
      <c r="B5" t="s">
        <v>1021</v>
      </c>
      <c r="C5" t="s">
        <v>32</v>
      </c>
      <c r="D5">
        <v>13</v>
      </c>
      <c r="E5">
        <v>0</v>
      </c>
      <c r="F5">
        <v>0</v>
      </c>
      <c r="G5">
        <v>0</v>
      </c>
      <c r="H5">
        <v>0</v>
      </c>
      <c r="I5">
        <v>0</v>
      </c>
      <c r="J5">
        <v>4</v>
      </c>
      <c r="K5">
        <v>20</v>
      </c>
      <c r="L5">
        <v>0</v>
      </c>
      <c r="M5">
        <v>32</v>
      </c>
      <c r="N5">
        <v>25</v>
      </c>
      <c r="O5">
        <v>211</v>
      </c>
      <c r="P5">
        <v>1</v>
      </c>
      <c r="Q5">
        <v>0</v>
      </c>
      <c r="R5">
        <v>0</v>
      </c>
      <c r="S5">
        <v>54.1</v>
      </c>
      <c r="T5">
        <v>6.0491493383742899E-2</v>
      </c>
      <c r="U5">
        <v>5</v>
      </c>
      <c r="V5">
        <v>8.44</v>
      </c>
      <c r="Y5">
        <v>41.6</v>
      </c>
    </row>
    <row r="6" spans="1:25" x14ac:dyDescent="0.2">
      <c r="A6" t="s">
        <v>1025</v>
      </c>
      <c r="B6" t="s">
        <v>1021</v>
      </c>
      <c r="C6" t="s">
        <v>32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66</v>
      </c>
      <c r="L6">
        <v>0</v>
      </c>
      <c r="M6">
        <v>9</v>
      </c>
      <c r="N6">
        <v>9</v>
      </c>
      <c r="O6">
        <v>57</v>
      </c>
      <c r="P6">
        <v>1</v>
      </c>
      <c r="Q6">
        <v>0</v>
      </c>
      <c r="R6">
        <v>0</v>
      </c>
      <c r="S6">
        <v>27.3</v>
      </c>
      <c r="T6">
        <v>1.70132325141777E-2</v>
      </c>
      <c r="U6">
        <v>3.8823529411764701</v>
      </c>
      <c r="V6">
        <v>6.3333333333333304</v>
      </c>
      <c r="Y6">
        <v>22.8</v>
      </c>
    </row>
    <row r="7" spans="1:25" x14ac:dyDescent="0.2">
      <c r="A7" t="s">
        <v>1026</v>
      </c>
      <c r="B7" t="s">
        <v>1021</v>
      </c>
      <c r="C7" t="s">
        <v>32</v>
      </c>
      <c r="D7">
        <v>17</v>
      </c>
      <c r="E7">
        <v>0</v>
      </c>
      <c r="F7">
        <v>0</v>
      </c>
      <c r="G7">
        <v>0</v>
      </c>
      <c r="H7">
        <v>0</v>
      </c>
      <c r="I7">
        <v>0</v>
      </c>
      <c r="J7">
        <v>340</v>
      </c>
      <c r="K7">
        <v>1653</v>
      </c>
      <c r="L7">
        <v>12</v>
      </c>
      <c r="M7">
        <v>64</v>
      </c>
      <c r="N7">
        <v>53</v>
      </c>
      <c r="O7">
        <v>400</v>
      </c>
      <c r="P7">
        <v>0</v>
      </c>
      <c r="Q7">
        <v>0</v>
      </c>
      <c r="R7">
        <v>0</v>
      </c>
      <c r="S7">
        <v>328.3</v>
      </c>
      <c r="T7">
        <v>0.12098298676748601</v>
      </c>
      <c r="U7">
        <v>4.8617647058823499</v>
      </c>
      <c r="V7">
        <v>7.5471698113207504</v>
      </c>
      <c r="Y7">
        <v>303.8</v>
      </c>
    </row>
    <row r="8" spans="1:25" x14ac:dyDescent="0.2">
      <c r="A8" t="s">
        <v>1027</v>
      </c>
      <c r="B8" t="s">
        <v>1021</v>
      </c>
      <c r="C8" t="s">
        <v>32</v>
      </c>
      <c r="D8">
        <v>11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7</v>
      </c>
      <c r="T8">
        <v>0</v>
      </c>
      <c r="U8">
        <v>4.1176470588235299</v>
      </c>
      <c r="Y8">
        <v>7</v>
      </c>
    </row>
    <row r="9" spans="1:25" x14ac:dyDescent="0.2">
      <c r="A9" t="s">
        <v>1028</v>
      </c>
      <c r="B9" t="s">
        <v>1021</v>
      </c>
      <c r="C9" t="s">
        <v>39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43</v>
      </c>
      <c r="N9">
        <v>28</v>
      </c>
      <c r="O9">
        <v>388</v>
      </c>
      <c r="P9">
        <v>3</v>
      </c>
      <c r="Q9">
        <v>0</v>
      </c>
      <c r="R9">
        <v>0</v>
      </c>
      <c r="S9">
        <v>84.8</v>
      </c>
      <c r="T9">
        <v>8.1285444234404494E-2</v>
      </c>
      <c r="V9">
        <v>13.8571428571429</v>
      </c>
      <c r="Y9">
        <v>70.8</v>
      </c>
    </row>
    <row r="10" spans="1:25" x14ac:dyDescent="0.2">
      <c r="A10" t="s">
        <v>1029</v>
      </c>
      <c r="B10" t="s">
        <v>1021</v>
      </c>
      <c r="C10" t="s">
        <v>39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54</v>
      </c>
      <c r="N10">
        <v>33</v>
      </c>
      <c r="O10">
        <v>420</v>
      </c>
      <c r="P10">
        <v>2</v>
      </c>
      <c r="Q10">
        <v>0</v>
      </c>
      <c r="R10">
        <v>0</v>
      </c>
      <c r="S10">
        <v>87</v>
      </c>
      <c r="T10">
        <v>0.102079395085066</v>
      </c>
      <c r="V10">
        <v>12.7272727272727</v>
      </c>
      <c r="Y10">
        <v>70.5</v>
      </c>
    </row>
    <row r="11" spans="1:25" x14ac:dyDescent="0.2">
      <c r="A11" t="s">
        <v>1030</v>
      </c>
      <c r="B11" t="s">
        <v>1021</v>
      </c>
      <c r="C11" t="s">
        <v>39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4</v>
      </c>
      <c r="N11">
        <v>3</v>
      </c>
      <c r="O11">
        <v>19</v>
      </c>
      <c r="P11">
        <v>0</v>
      </c>
      <c r="Q11">
        <v>0</v>
      </c>
      <c r="R11">
        <v>0</v>
      </c>
      <c r="S11">
        <v>4.9000000000000004</v>
      </c>
      <c r="T11">
        <v>7.5614366729678598E-3</v>
      </c>
      <c r="V11">
        <v>6.3333333333333304</v>
      </c>
      <c r="Y11">
        <v>3.4</v>
      </c>
    </row>
    <row r="12" spans="1:25" x14ac:dyDescent="0.2">
      <c r="A12" t="s">
        <v>1031</v>
      </c>
      <c r="B12" t="s">
        <v>1021</v>
      </c>
      <c r="C12" t="s">
        <v>44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3</v>
      </c>
      <c r="K12">
        <v>-1</v>
      </c>
      <c r="L12">
        <v>0</v>
      </c>
      <c r="M12">
        <v>180</v>
      </c>
      <c r="N12">
        <v>100</v>
      </c>
      <c r="O12">
        <v>1516</v>
      </c>
      <c r="P12">
        <v>14</v>
      </c>
      <c r="Q12">
        <v>0</v>
      </c>
      <c r="R12">
        <v>0</v>
      </c>
      <c r="S12">
        <v>335.5</v>
      </c>
      <c r="T12">
        <v>0.34026465028355402</v>
      </c>
      <c r="U12">
        <v>-0.33333333333333298</v>
      </c>
      <c r="V12">
        <v>15.16</v>
      </c>
      <c r="Y12">
        <v>285.5</v>
      </c>
    </row>
    <row r="13" spans="1:25" x14ac:dyDescent="0.2">
      <c r="A13" t="s">
        <v>1032</v>
      </c>
      <c r="B13" t="s">
        <v>1021</v>
      </c>
      <c r="C13" t="s">
        <v>44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4</v>
      </c>
      <c r="K13">
        <v>26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2.6</v>
      </c>
      <c r="T13">
        <v>1.8903591682419699E-3</v>
      </c>
      <c r="U13">
        <v>6.5</v>
      </c>
      <c r="Y13">
        <v>2.6</v>
      </c>
    </row>
    <row r="14" spans="1:25" x14ac:dyDescent="0.2">
      <c r="A14" t="s">
        <v>1033</v>
      </c>
      <c r="B14" t="s">
        <v>1021</v>
      </c>
      <c r="C14" t="s">
        <v>44</v>
      </c>
      <c r="D14">
        <v>10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50</v>
      </c>
      <c r="N14">
        <v>36</v>
      </c>
      <c r="O14">
        <v>330</v>
      </c>
      <c r="P14">
        <v>2</v>
      </c>
      <c r="Q14">
        <v>0</v>
      </c>
      <c r="R14">
        <v>0</v>
      </c>
      <c r="S14">
        <v>79</v>
      </c>
      <c r="T14">
        <v>9.4517958412098299E-2</v>
      </c>
      <c r="V14">
        <v>9.1666666666666696</v>
      </c>
      <c r="Y14">
        <v>63</v>
      </c>
    </row>
    <row r="15" spans="1:25" x14ac:dyDescent="0.2">
      <c r="A15" t="s">
        <v>1034</v>
      </c>
      <c r="B15" t="s">
        <v>1021</v>
      </c>
      <c r="C15" t="s">
        <v>44</v>
      </c>
      <c r="D15">
        <v>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21</v>
      </c>
      <c r="N15">
        <v>10</v>
      </c>
      <c r="O15">
        <v>141</v>
      </c>
      <c r="P15">
        <v>1</v>
      </c>
      <c r="Q15">
        <v>0</v>
      </c>
      <c r="R15">
        <v>0</v>
      </c>
      <c r="S15">
        <v>30.1</v>
      </c>
      <c r="T15">
        <v>3.9697542533081297E-2</v>
      </c>
      <c r="V15">
        <v>14.1</v>
      </c>
      <c r="Y15">
        <v>25.1</v>
      </c>
    </row>
    <row r="16" spans="1:25" x14ac:dyDescent="0.2">
      <c r="A16" t="s">
        <v>1035</v>
      </c>
      <c r="B16" t="s">
        <v>1021</v>
      </c>
      <c r="C16" t="s">
        <v>44</v>
      </c>
      <c r="D16">
        <v>17</v>
      </c>
      <c r="E16">
        <v>1</v>
      </c>
      <c r="F16">
        <v>1</v>
      </c>
      <c r="G16">
        <v>4</v>
      </c>
      <c r="H16">
        <v>0</v>
      </c>
      <c r="I16">
        <v>0</v>
      </c>
      <c r="J16">
        <v>4</v>
      </c>
      <c r="K16">
        <v>40</v>
      </c>
      <c r="L16">
        <v>0</v>
      </c>
      <c r="M16">
        <v>94</v>
      </c>
      <c r="N16">
        <v>57</v>
      </c>
      <c r="O16">
        <v>690</v>
      </c>
      <c r="P16">
        <v>4</v>
      </c>
      <c r="Q16">
        <v>0</v>
      </c>
      <c r="R16">
        <v>0</v>
      </c>
      <c r="S16">
        <v>154.16</v>
      </c>
      <c r="T16">
        <v>0.177693761814745</v>
      </c>
      <c r="U16">
        <v>10</v>
      </c>
      <c r="V16">
        <v>12.105263157894701</v>
      </c>
      <c r="W16">
        <v>1</v>
      </c>
      <c r="X16">
        <v>0</v>
      </c>
      <c r="Y16">
        <v>125.5</v>
      </c>
    </row>
    <row r="30" spans="1:12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">
      <c r="A31" t="s">
        <v>1021</v>
      </c>
      <c r="B31">
        <v>6242</v>
      </c>
      <c r="C31">
        <v>4182</v>
      </c>
      <c r="D31">
        <v>427</v>
      </c>
      <c r="E31">
        <v>2060</v>
      </c>
      <c r="F31">
        <v>12</v>
      </c>
      <c r="G31">
        <v>1462.48</v>
      </c>
      <c r="H31">
        <v>586</v>
      </c>
      <c r="I31">
        <v>0.61262798634812299</v>
      </c>
      <c r="J31">
        <v>28</v>
      </c>
      <c r="K31">
        <v>17</v>
      </c>
      <c r="L31">
        <v>1</v>
      </c>
    </row>
    <row r="32" spans="1:12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1036</v>
      </c>
      <c r="B36" t="s">
        <v>27</v>
      </c>
      <c r="C36">
        <v>24</v>
      </c>
      <c r="D36">
        <v>0</v>
      </c>
      <c r="E36" t="s">
        <v>422</v>
      </c>
      <c r="F36" t="s">
        <v>1021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1037</v>
      </c>
      <c r="B37" t="s">
        <v>27</v>
      </c>
      <c r="C37">
        <v>31</v>
      </c>
      <c r="D37">
        <v>8</v>
      </c>
      <c r="E37" t="s">
        <v>1038</v>
      </c>
      <c r="F37" t="s">
        <v>1021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1039</v>
      </c>
      <c r="B38" t="s">
        <v>27</v>
      </c>
      <c r="C38">
        <v>37</v>
      </c>
      <c r="D38">
        <v>14</v>
      </c>
      <c r="E38" t="s">
        <v>733</v>
      </c>
      <c r="F38" t="s">
        <v>1021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1040</v>
      </c>
      <c r="B39" t="s">
        <v>27</v>
      </c>
      <c r="C39">
        <v>24</v>
      </c>
      <c r="D39">
        <v>0</v>
      </c>
      <c r="E39" t="s">
        <v>63</v>
      </c>
      <c r="F39" t="s">
        <v>1021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1041</v>
      </c>
      <c r="B40" t="s">
        <v>32</v>
      </c>
      <c r="C40">
        <v>30</v>
      </c>
      <c r="D40">
        <v>8</v>
      </c>
      <c r="E40" t="s">
        <v>247</v>
      </c>
      <c r="F40" t="s">
        <v>1021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1042</v>
      </c>
      <c r="B41" t="s">
        <v>32</v>
      </c>
      <c r="C41">
        <v>33</v>
      </c>
      <c r="D41">
        <v>10</v>
      </c>
      <c r="E41" t="s">
        <v>239</v>
      </c>
      <c r="F41" t="s">
        <v>1021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1043</v>
      </c>
      <c r="B42" t="s">
        <v>32</v>
      </c>
      <c r="C42">
        <v>25</v>
      </c>
      <c r="D42">
        <v>0</v>
      </c>
      <c r="E42" t="s">
        <v>473</v>
      </c>
      <c r="F42" t="s">
        <v>1021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1044</v>
      </c>
      <c r="B43" t="s">
        <v>32</v>
      </c>
      <c r="C43">
        <v>25</v>
      </c>
      <c r="D43">
        <v>4</v>
      </c>
      <c r="E43" t="s">
        <v>153</v>
      </c>
      <c r="F43" t="s">
        <v>1021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1045</v>
      </c>
      <c r="B44" t="s">
        <v>32</v>
      </c>
      <c r="C44">
        <v>22</v>
      </c>
      <c r="D44">
        <v>0</v>
      </c>
      <c r="E44" t="s">
        <v>1046</v>
      </c>
      <c r="F44" t="s">
        <v>1021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1047</v>
      </c>
      <c r="B45" t="s">
        <v>32</v>
      </c>
      <c r="C45">
        <v>26</v>
      </c>
      <c r="D45">
        <v>3</v>
      </c>
      <c r="E45" t="s">
        <v>1048</v>
      </c>
      <c r="F45" t="s">
        <v>1021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1049</v>
      </c>
      <c r="B46" t="s">
        <v>32</v>
      </c>
      <c r="C46">
        <v>23</v>
      </c>
      <c r="D46">
        <v>0</v>
      </c>
      <c r="E46" t="s">
        <v>171</v>
      </c>
      <c r="F46" t="s">
        <v>1021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1050</v>
      </c>
      <c r="B47" t="s">
        <v>44</v>
      </c>
      <c r="C47">
        <v>30</v>
      </c>
      <c r="D47">
        <v>9</v>
      </c>
      <c r="E47" t="s">
        <v>279</v>
      </c>
      <c r="F47" t="s">
        <v>1021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1051</v>
      </c>
      <c r="B48" t="s">
        <v>44</v>
      </c>
      <c r="C48">
        <v>30</v>
      </c>
      <c r="D48">
        <v>5</v>
      </c>
      <c r="E48" t="s">
        <v>1052</v>
      </c>
      <c r="F48" t="s">
        <v>1021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1053</v>
      </c>
      <c r="B49" t="s">
        <v>44</v>
      </c>
      <c r="C49">
        <v>30</v>
      </c>
      <c r="D49">
        <v>6</v>
      </c>
      <c r="E49" t="s">
        <v>1054</v>
      </c>
      <c r="F49" t="s">
        <v>1021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1055</v>
      </c>
      <c r="B50" t="s">
        <v>44</v>
      </c>
      <c r="C50">
        <v>30</v>
      </c>
      <c r="D50">
        <v>8</v>
      </c>
      <c r="E50" t="s">
        <v>398</v>
      </c>
      <c r="F50" t="s">
        <v>1021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1056</v>
      </c>
      <c r="B51" t="s">
        <v>44</v>
      </c>
      <c r="C51">
        <v>27</v>
      </c>
      <c r="D51">
        <v>1</v>
      </c>
      <c r="E51" t="s">
        <v>213</v>
      </c>
      <c r="F51" t="s">
        <v>1021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1057</v>
      </c>
      <c r="B52" t="s">
        <v>44</v>
      </c>
      <c r="C52">
        <v>26</v>
      </c>
      <c r="D52">
        <v>4</v>
      </c>
      <c r="E52" t="s">
        <v>277</v>
      </c>
      <c r="F52" t="s">
        <v>1021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1058</v>
      </c>
      <c r="B53" t="s">
        <v>44</v>
      </c>
      <c r="C53">
        <v>27</v>
      </c>
      <c r="D53">
        <v>4</v>
      </c>
      <c r="E53" t="s">
        <v>460</v>
      </c>
      <c r="F53" t="s">
        <v>1021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1059</v>
      </c>
      <c r="B54" t="s">
        <v>44</v>
      </c>
      <c r="C54">
        <v>27</v>
      </c>
      <c r="D54">
        <v>6</v>
      </c>
      <c r="E54" t="s">
        <v>153</v>
      </c>
      <c r="F54" t="s">
        <v>1021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1060</v>
      </c>
      <c r="B55" t="s">
        <v>44</v>
      </c>
      <c r="C55">
        <v>22</v>
      </c>
      <c r="D55">
        <v>0</v>
      </c>
      <c r="E55" t="s">
        <v>133</v>
      </c>
      <c r="F55" t="s">
        <v>1021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1061</v>
      </c>
      <c r="B56" t="s">
        <v>44</v>
      </c>
      <c r="C56">
        <v>26</v>
      </c>
      <c r="D56">
        <v>1</v>
      </c>
      <c r="E56" t="s">
        <v>75</v>
      </c>
      <c r="F56" t="s">
        <v>1021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1062</v>
      </c>
      <c r="B57" t="s">
        <v>44</v>
      </c>
      <c r="C57">
        <v>26</v>
      </c>
      <c r="D57">
        <v>1</v>
      </c>
      <c r="E57" t="s">
        <v>828</v>
      </c>
      <c r="F57" t="s">
        <v>1021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1063</v>
      </c>
      <c r="B58" t="s">
        <v>39</v>
      </c>
      <c r="C58">
        <v>25</v>
      </c>
      <c r="D58">
        <v>0</v>
      </c>
      <c r="E58" t="s">
        <v>203</v>
      </c>
      <c r="F58" t="s">
        <v>1021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1064</v>
      </c>
      <c r="B59" t="s">
        <v>39</v>
      </c>
      <c r="C59">
        <v>28</v>
      </c>
      <c r="D59">
        <v>7</v>
      </c>
      <c r="E59" t="s">
        <v>97</v>
      </c>
      <c r="F59" t="s">
        <v>1021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1065</v>
      </c>
      <c r="B60" t="s">
        <v>39</v>
      </c>
      <c r="C60">
        <v>26</v>
      </c>
      <c r="D60">
        <v>3</v>
      </c>
      <c r="E60" t="s">
        <v>419</v>
      </c>
      <c r="F60" t="s">
        <v>1021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1066</v>
      </c>
      <c r="B61" t="s">
        <v>39</v>
      </c>
      <c r="C61">
        <v>28</v>
      </c>
      <c r="D61">
        <v>7</v>
      </c>
      <c r="E61" t="s">
        <v>153</v>
      </c>
      <c r="F61" t="s">
        <v>1021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1067</v>
      </c>
      <c r="B62" t="s">
        <v>39</v>
      </c>
      <c r="C62">
        <v>22</v>
      </c>
      <c r="D62">
        <v>0</v>
      </c>
      <c r="E62" t="s">
        <v>363</v>
      </c>
      <c r="F62" t="s">
        <v>1021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1068</v>
      </c>
      <c r="B63" t="s">
        <v>39</v>
      </c>
      <c r="C63">
        <v>24</v>
      </c>
      <c r="D63">
        <v>0</v>
      </c>
      <c r="E63" t="s">
        <v>466</v>
      </c>
      <c r="F63" t="s">
        <v>1021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1069</v>
      </c>
      <c r="B2" t="s">
        <v>1070</v>
      </c>
      <c r="C2" t="s">
        <v>112</v>
      </c>
      <c r="D2">
        <v>12</v>
      </c>
      <c r="E2">
        <v>0</v>
      </c>
      <c r="F2">
        <v>0</v>
      </c>
      <c r="G2">
        <v>0</v>
      </c>
      <c r="H2">
        <v>0</v>
      </c>
      <c r="I2">
        <v>0</v>
      </c>
      <c r="J2">
        <v>6</v>
      </c>
      <c r="K2">
        <v>8</v>
      </c>
      <c r="L2">
        <v>1</v>
      </c>
      <c r="M2">
        <v>23</v>
      </c>
      <c r="N2">
        <v>15</v>
      </c>
      <c r="O2">
        <v>105</v>
      </c>
      <c r="P2">
        <v>1</v>
      </c>
      <c r="Q2">
        <v>0</v>
      </c>
      <c r="R2">
        <v>0</v>
      </c>
      <c r="S2">
        <v>38.299999999999997</v>
      </c>
      <c r="T2">
        <v>3.9249146757679203E-2</v>
      </c>
      <c r="U2">
        <v>1.3333333333333299</v>
      </c>
      <c r="V2">
        <v>7</v>
      </c>
      <c r="Y2">
        <v>30.8</v>
      </c>
    </row>
    <row r="3" spans="1:25" x14ac:dyDescent="0.2">
      <c r="A3" t="s">
        <v>1071</v>
      </c>
      <c r="B3" t="s">
        <v>1070</v>
      </c>
      <c r="C3" t="s">
        <v>27</v>
      </c>
      <c r="D3">
        <v>7</v>
      </c>
      <c r="E3">
        <v>105</v>
      </c>
      <c r="F3">
        <v>60</v>
      </c>
      <c r="G3">
        <v>534</v>
      </c>
      <c r="H3">
        <v>1</v>
      </c>
      <c r="I3">
        <v>3</v>
      </c>
      <c r="J3">
        <v>14</v>
      </c>
      <c r="K3">
        <v>21</v>
      </c>
      <c r="L3">
        <v>0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17.46</v>
      </c>
      <c r="T3">
        <v>0</v>
      </c>
      <c r="U3">
        <v>1.5</v>
      </c>
      <c r="W3">
        <v>0.57142857142857095</v>
      </c>
      <c r="X3">
        <v>9.5238095238095195E-3</v>
      </c>
      <c r="Y3">
        <v>20.46</v>
      </c>
    </row>
    <row r="4" spans="1:25" x14ac:dyDescent="0.2">
      <c r="A4" t="s">
        <v>1072</v>
      </c>
      <c r="B4" t="s">
        <v>1070</v>
      </c>
      <c r="C4" t="s">
        <v>27</v>
      </c>
      <c r="D4">
        <v>5</v>
      </c>
      <c r="E4">
        <v>79</v>
      </c>
      <c r="F4">
        <v>49</v>
      </c>
      <c r="G4">
        <v>683</v>
      </c>
      <c r="H4">
        <v>4</v>
      </c>
      <c r="I4">
        <v>4</v>
      </c>
      <c r="J4">
        <v>3</v>
      </c>
      <c r="K4">
        <v>27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38.020000000000003</v>
      </c>
      <c r="T4">
        <v>0</v>
      </c>
      <c r="U4">
        <v>9</v>
      </c>
      <c r="W4">
        <v>0.620253164556962</v>
      </c>
      <c r="X4">
        <v>5.0632911392405097E-2</v>
      </c>
      <c r="Y4">
        <v>42.02</v>
      </c>
    </row>
    <row r="5" spans="1:25" x14ac:dyDescent="0.2">
      <c r="A5" t="s">
        <v>1073</v>
      </c>
      <c r="B5" t="s">
        <v>1070</v>
      </c>
      <c r="C5" t="s">
        <v>27</v>
      </c>
      <c r="D5">
        <v>13</v>
      </c>
      <c r="E5">
        <v>400</v>
      </c>
      <c r="F5">
        <v>259</v>
      </c>
      <c r="G5">
        <v>3548</v>
      </c>
      <c r="H5">
        <v>25</v>
      </c>
      <c r="I5">
        <v>8</v>
      </c>
      <c r="J5">
        <v>24</v>
      </c>
      <c r="K5">
        <v>70</v>
      </c>
      <c r="L5">
        <v>0</v>
      </c>
      <c r="M5">
        <v>0</v>
      </c>
      <c r="N5">
        <v>0</v>
      </c>
      <c r="O5">
        <v>0</v>
      </c>
      <c r="P5">
        <v>0</v>
      </c>
      <c r="Q5">
        <v>1</v>
      </c>
      <c r="R5">
        <v>0</v>
      </c>
      <c r="S5">
        <v>230.92</v>
      </c>
      <c r="T5">
        <v>0</v>
      </c>
      <c r="U5">
        <v>2.9166666666666701</v>
      </c>
      <c r="W5">
        <v>0.64749999999999996</v>
      </c>
      <c r="X5">
        <v>6.25E-2</v>
      </c>
      <c r="Y5">
        <v>238.92</v>
      </c>
    </row>
    <row r="6" spans="1:25" x14ac:dyDescent="0.2">
      <c r="A6" t="s">
        <v>587</v>
      </c>
      <c r="B6" t="s">
        <v>1070</v>
      </c>
      <c r="C6" t="s">
        <v>32</v>
      </c>
      <c r="D6">
        <v>8</v>
      </c>
      <c r="E6">
        <v>0</v>
      </c>
      <c r="F6">
        <v>0</v>
      </c>
      <c r="G6">
        <v>0</v>
      </c>
      <c r="H6">
        <v>0</v>
      </c>
      <c r="I6">
        <v>0</v>
      </c>
      <c r="J6">
        <v>42</v>
      </c>
      <c r="K6">
        <v>120</v>
      </c>
      <c r="L6">
        <v>2</v>
      </c>
      <c r="M6">
        <v>17</v>
      </c>
      <c r="N6">
        <v>10</v>
      </c>
      <c r="O6">
        <v>96</v>
      </c>
      <c r="P6">
        <v>1</v>
      </c>
      <c r="Q6">
        <v>0</v>
      </c>
      <c r="R6">
        <v>0</v>
      </c>
      <c r="S6">
        <v>49.6</v>
      </c>
      <c r="T6">
        <v>2.90102389078498E-2</v>
      </c>
      <c r="U6">
        <v>2.8571428571428599</v>
      </c>
      <c r="V6">
        <v>9.6</v>
      </c>
      <c r="Y6">
        <v>44.6</v>
      </c>
    </row>
    <row r="7" spans="1:25" x14ac:dyDescent="0.2">
      <c r="A7" t="s">
        <v>1074</v>
      </c>
      <c r="B7" t="s">
        <v>1070</v>
      </c>
      <c r="C7" t="s">
        <v>32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84</v>
      </c>
      <c r="K7">
        <v>392</v>
      </c>
      <c r="L7">
        <v>3</v>
      </c>
      <c r="M7">
        <v>24</v>
      </c>
      <c r="N7">
        <v>12</v>
      </c>
      <c r="O7">
        <v>94</v>
      </c>
      <c r="P7">
        <v>1</v>
      </c>
      <c r="Q7">
        <v>0</v>
      </c>
      <c r="R7">
        <v>0</v>
      </c>
      <c r="S7">
        <v>84.6</v>
      </c>
      <c r="T7">
        <v>4.0955631399317398E-2</v>
      </c>
      <c r="U7">
        <v>4.6666666666666696</v>
      </c>
      <c r="V7">
        <v>7.8333333333333304</v>
      </c>
      <c r="Y7">
        <v>78.599999999999994</v>
      </c>
    </row>
    <row r="8" spans="1:25" x14ac:dyDescent="0.2">
      <c r="A8" t="s">
        <v>1075</v>
      </c>
      <c r="B8" t="s">
        <v>1070</v>
      </c>
      <c r="C8" t="s">
        <v>32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26</v>
      </c>
      <c r="L8">
        <v>0</v>
      </c>
      <c r="M8">
        <v>6</v>
      </c>
      <c r="N8">
        <v>4</v>
      </c>
      <c r="O8">
        <v>28</v>
      </c>
      <c r="P8">
        <v>0</v>
      </c>
      <c r="Q8">
        <v>0</v>
      </c>
      <c r="R8">
        <v>0</v>
      </c>
      <c r="S8">
        <v>9.4</v>
      </c>
      <c r="T8">
        <v>1.02389078498294E-2</v>
      </c>
      <c r="U8">
        <v>2.6</v>
      </c>
      <c r="V8">
        <v>7</v>
      </c>
      <c r="Y8">
        <v>7.4</v>
      </c>
    </row>
    <row r="9" spans="1:25" x14ac:dyDescent="0.2">
      <c r="A9" t="s">
        <v>1076</v>
      </c>
      <c r="B9" t="s">
        <v>1070</v>
      </c>
      <c r="C9" t="s">
        <v>32</v>
      </c>
      <c r="D9">
        <v>16</v>
      </c>
      <c r="E9">
        <v>0</v>
      </c>
      <c r="F9">
        <v>0</v>
      </c>
      <c r="G9">
        <v>0</v>
      </c>
      <c r="H9">
        <v>0</v>
      </c>
      <c r="I9">
        <v>0</v>
      </c>
      <c r="J9">
        <v>181</v>
      </c>
      <c r="K9">
        <v>891</v>
      </c>
      <c r="L9">
        <v>3</v>
      </c>
      <c r="M9">
        <v>42</v>
      </c>
      <c r="N9">
        <v>31</v>
      </c>
      <c r="O9">
        <v>202</v>
      </c>
      <c r="P9">
        <v>2</v>
      </c>
      <c r="Q9">
        <v>1</v>
      </c>
      <c r="R9">
        <v>0</v>
      </c>
      <c r="S9">
        <v>168.3</v>
      </c>
      <c r="T9">
        <v>7.16723549488055E-2</v>
      </c>
      <c r="U9">
        <v>4.9226519337016601</v>
      </c>
      <c r="V9">
        <v>6.5161290322580596</v>
      </c>
      <c r="Y9">
        <v>152.80000000000001</v>
      </c>
    </row>
    <row r="10" spans="1:25" x14ac:dyDescent="0.2">
      <c r="A10" t="s">
        <v>1077</v>
      </c>
      <c r="B10" t="s">
        <v>1070</v>
      </c>
      <c r="C10" t="s">
        <v>32</v>
      </c>
      <c r="D10">
        <v>6</v>
      </c>
      <c r="E10">
        <v>0</v>
      </c>
      <c r="F10">
        <v>0</v>
      </c>
      <c r="G10">
        <v>0</v>
      </c>
      <c r="H10">
        <v>0</v>
      </c>
      <c r="I10">
        <v>0</v>
      </c>
      <c r="J10">
        <v>12</v>
      </c>
      <c r="K10">
        <v>64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14.2</v>
      </c>
      <c r="T10">
        <v>1.70648464163823E-3</v>
      </c>
      <c r="U10">
        <v>5.3333333333333304</v>
      </c>
      <c r="V10">
        <v>8</v>
      </c>
      <c r="Y10">
        <v>13.7</v>
      </c>
    </row>
    <row r="11" spans="1:25" x14ac:dyDescent="0.2">
      <c r="A11" t="s">
        <v>1078</v>
      </c>
      <c r="B11" t="s">
        <v>1070</v>
      </c>
      <c r="C11" t="s">
        <v>39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1</v>
      </c>
      <c r="L11">
        <v>1</v>
      </c>
      <c r="M11">
        <v>20</v>
      </c>
      <c r="N11">
        <v>15</v>
      </c>
      <c r="O11">
        <v>129</v>
      </c>
      <c r="P11">
        <v>1</v>
      </c>
      <c r="Q11">
        <v>0</v>
      </c>
      <c r="R11">
        <v>0</v>
      </c>
      <c r="S11">
        <v>40</v>
      </c>
      <c r="T11">
        <v>3.4129692832764499E-2</v>
      </c>
      <c r="U11">
        <v>0.5</v>
      </c>
      <c r="V11">
        <v>8.6</v>
      </c>
      <c r="Y11">
        <v>32.5</v>
      </c>
    </row>
    <row r="12" spans="1:25" x14ac:dyDescent="0.2">
      <c r="A12" t="s">
        <v>1079</v>
      </c>
      <c r="B12" t="s">
        <v>1070</v>
      </c>
      <c r="C12" t="s">
        <v>39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52</v>
      </c>
      <c r="N12">
        <v>32</v>
      </c>
      <c r="O12">
        <v>362</v>
      </c>
      <c r="P12">
        <v>5</v>
      </c>
      <c r="Q12">
        <v>0</v>
      </c>
      <c r="R12">
        <v>0</v>
      </c>
      <c r="S12">
        <v>98.2</v>
      </c>
      <c r="T12">
        <v>8.8737201365187701E-2</v>
      </c>
      <c r="V12">
        <v>11.3125</v>
      </c>
      <c r="Y12">
        <v>82.2</v>
      </c>
    </row>
    <row r="13" spans="1:25" x14ac:dyDescent="0.2">
      <c r="A13" t="s">
        <v>1080</v>
      </c>
      <c r="B13" t="s">
        <v>1070</v>
      </c>
      <c r="C13" t="s">
        <v>44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3</v>
      </c>
      <c r="N13">
        <v>2</v>
      </c>
      <c r="O13">
        <v>17</v>
      </c>
      <c r="P13">
        <v>0</v>
      </c>
      <c r="Q13">
        <v>0</v>
      </c>
      <c r="R13">
        <v>0</v>
      </c>
      <c r="S13">
        <v>1.7</v>
      </c>
      <c r="T13">
        <v>5.1194539249146799E-3</v>
      </c>
      <c r="V13">
        <v>8.5</v>
      </c>
      <c r="Y13">
        <v>2.7</v>
      </c>
    </row>
    <row r="14" spans="1:25" x14ac:dyDescent="0.2">
      <c r="A14" t="s">
        <v>1081</v>
      </c>
      <c r="B14" t="s">
        <v>1070</v>
      </c>
      <c r="C14" t="s">
        <v>44</v>
      </c>
      <c r="D14"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1</v>
      </c>
      <c r="K14">
        <v>8</v>
      </c>
      <c r="L14">
        <v>0</v>
      </c>
      <c r="M14">
        <v>18</v>
      </c>
      <c r="N14">
        <v>12</v>
      </c>
      <c r="O14">
        <v>136</v>
      </c>
      <c r="P14">
        <v>0</v>
      </c>
      <c r="Q14">
        <v>0</v>
      </c>
      <c r="R14">
        <v>0</v>
      </c>
      <c r="S14">
        <v>26.4</v>
      </c>
      <c r="T14">
        <v>3.0716723549488099E-2</v>
      </c>
      <c r="U14">
        <v>8</v>
      </c>
      <c r="V14">
        <v>11.3333333333333</v>
      </c>
      <c r="Y14">
        <v>20.399999999999999</v>
      </c>
    </row>
    <row r="15" spans="1:25" x14ac:dyDescent="0.2">
      <c r="A15" t="s">
        <v>1082</v>
      </c>
      <c r="B15" t="s">
        <v>1070</v>
      </c>
      <c r="C15" t="s">
        <v>44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3</v>
      </c>
      <c r="P15">
        <v>0</v>
      </c>
      <c r="Q15">
        <v>0</v>
      </c>
      <c r="R15">
        <v>0</v>
      </c>
      <c r="S15">
        <v>1.3</v>
      </c>
      <c r="T15">
        <v>1.70648464163823E-3</v>
      </c>
      <c r="V15">
        <v>3</v>
      </c>
      <c r="Y15">
        <v>0.8</v>
      </c>
    </row>
    <row r="16" spans="1:25" x14ac:dyDescent="0.2">
      <c r="A16" t="s">
        <v>1083</v>
      </c>
      <c r="B16" t="s">
        <v>1070</v>
      </c>
      <c r="C16" t="s">
        <v>44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26</v>
      </c>
      <c r="L16">
        <v>0</v>
      </c>
      <c r="M16">
        <v>117</v>
      </c>
      <c r="N16">
        <v>75</v>
      </c>
      <c r="O16">
        <v>1356</v>
      </c>
      <c r="P16">
        <v>8</v>
      </c>
      <c r="Q16">
        <v>0</v>
      </c>
      <c r="R16">
        <v>0</v>
      </c>
      <c r="S16">
        <v>259.2</v>
      </c>
      <c r="T16">
        <v>0.19965870307167199</v>
      </c>
      <c r="U16">
        <v>8.6666666666666696</v>
      </c>
      <c r="V16">
        <v>18.079999999999998</v>
      </c>
      <c r="Y16">
        <v>223.7</v>
      </c>
    </row>
    <row r="17" spans="1:25" x14ac:dyDescent="0.2">
      <c r="A17" t="s">
        <v>1084</v>
      </c>
      <c r="B17" t="s">
        <v>1070</v>
      </c>
      <c r="C17" t="s">
        <v>44</v>
      </c>
      <c r="D17">
        <v>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14</v>
      </c>
      <c r="N17">
        <v>9</v>
      </c>
      <c r="O17">
        <v>102</v>
      </c>
      <c r="P17">
        <v>2</v>
      </c>
      <c r="Q17">
        <v>0</v>
      </c>
      <c r="R17">
        <v>0</v>
      </c>
      <c r="S17">
        <v>31.2</v>
      </c>
      <c r="T17">
        <v>2.38907849829352E-2</v>
      </c>
      <c r="V17">
        <v>11.3333333333333</v>
      </c>
      <c r="Y17">
        <v>26.7</v>
      </c>
    </row>
    <row r="18" spans="1:25" x14ac:dyDescent="0.2">
      <c r="A18" t="s">
        <v>1085</v>
      </c>
      <c r="B18" t="s">
        <v>1070</v>
      </c>
      <c r="C18" t="s">
        <v>44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5.1194539249146799E-3</v>
      </c>
      <c r="Y18">
        <v>0</v>
      </c>
    </row>
    <row r="19" spans="1:25" x14ac:dyDescent="0.2">
      <c r="A19" t="s">
        <v>1086</v>
      </c>
      <c r="B19" t="s">
        <v>1070</v>
      </c>
      <c r="C19" t="s">
        <v>44</v>
      </c>
      <c r="D19">
        <v>17</v>
      </c>
      <c r="E19">
        <v>0</v>
      </c>
      <c r="F19">
        <v>0</v>
      </c>
      <c r="G19">
        <v>0</v>
      </c>
      <c r="H19">
        <v>0</v>
      </c>
      <c r="I19">
        <v>0</v>
      </c>
      <c r="J19">
        <v>7</v>
      </c>
      <c r="K19">
        <v>32</v>
      </c>
      <c r="L19">
        <v>1</v>
      </c>
      <c r="M19">
        <v>170</v>
      </c>
      <c r="N19">
        <v>119</v>
      </c>
      <c r="O19">
        <v>1710</v>
      </c>
      <c r="P19">
        <v>7</v>
      </c>
      <c r="Q19">
        <v>0</v>
      </c>
      <c r="R19">
        <v>0</v>
      </c>
      <c r="S19">
        <v>341.2</v>
      </c>
      <c r="T19">
        <v>0.290102389078498</v>
      </c>
      <c r="U19">
        <v>4.5714285714285703</v>
      </c>
      <c r="V19">
        <v>14.3697478991597</v>
      </c>
      <c r="Y19">
        <v>281.7</v>
      </c>
    </row>
    <row r="20" spans="1:25" x14ac:dyDescent="0.2">
      <c r="A20" t="s">
        <v>1087</v>
      </c>
      <c r="B20" t="s">
        <v>1070</v>
      </c>
      <c r="C20" t="s">
        <v>44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51</v>
      </c>
      <c r="N20">
        <v>30</v>
      </c>
      <c r="O20">
        <v>417</v>
      </c>
      <c r="P20">
        <v>2</v>
      </c>
      <c r="Q20">
        <v>0</v>
      </c>
      <c r="R20">
        <v>0</v>
      </c>
      <c r="S20">
        <v>83.7</v>
      </c>
      <c r="T20">
        <v>8.7030716723549506E-2</v>
      </c>
      <c r="V20">
        <v>13.9</v>
      </c>
      <c r="Y20">
        <v>68.7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1070</v>
      </c>
      <c r="B31">
        <v>6451</v>
      </c>
      <c r="C31">
        <v>4765</v>
      </c>
      <c r="D31">
        <v>389</v>
      </c>
      <c r="E31">
        <v>1686</v>
      </c>
      <c r="F31">
        <v>12</v>
      </c>
      <c r="G31">
        <v>1533.7</v>
      </c>
      <c r="H31">
        <v>584</v>
      </c>
      <c r="I31">
        <v>0.63013698630137005</v>
      </c>
      <c r="J31">
        <v>30</v>
      </c>
      <c r="K31">
        <v>15</v>
      </c>
      <c r="L31">
        <v>4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1088</v>
      </c>
      <c r="B36" t="s">
        <v>27</v>
      </c>
      <c r="C36">
        <v>24</v>
      </c>
      <c r="D36">
        <v>0</v>
      </c>
      <c r="E36" t="s">
        <v>1089</v>
      </c>
      <c r="F36" t="s">
        <v>1070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1090</v>
      </c>
      <c r="B37" t="s">
        <v>27</v>
      </c>
      <c r="C37">
        <v>25</v>
      </c>
      <c r="D37">
        <v>3</v>
      </c>
      <c r="E37" t="s">
        <v>153</v>
      </c>
      <c r="F37" t="s">
        <v>1070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1091</v>
      </c>
      <c r="B38" t="s">
        <v>27</v>
      </c>
      <c r="C38">
        <v>26</v>
      </c>
      <c r="D38">
        <v>0</v>
      </c>
      <c r="E38" t="s">
        <v>560</v>
      </c>
      <c r="F38" t="s">
        <v>1070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1092</v>
      </c>
      <c r="B39" t="s">
        <v>27</v>
      </c>
      <c r="C39">
        <v>28</v>
      </c>
      <c r="D39">
        <v>3</v>
      </c>
      <c r="E39" t="s">
        <v>1093</v>
      </c>
      <c r="F39" t="s">
        <v>1070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1094</v>
      </c>
      <c r="B40" t="s">
        <v>32</v>
      </c>
      <c r="C40">
        <v>21</v>
      </c>
      <c r="D40">
        <v>0</v>
      </c>
      <c r="E40" t="s">
        <v>454</v>
      </c>
      <c r="F40" t="s">
        <v>1070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1095</v>
      </c>
      <c r="B41" t="s">
        <v>32</v>
      </c>
      <c r="C41">
        <v>24</v>
      </c>
      <c r="D41">
        <v>3</v>
      </c>
      <c r="E41" t="s">
        <v>85</v>
      </c>
      <c r="F41" t="s">
        <v>1070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1096</v>
      </c>
      <c r="B42" t="s">
        <v>32</v>
      </c>
      <c r="C42">
        <v>23</v>
      </c>
      <c r="D42">
        <v>0</v>
      </c>
      <c r="E42" t="s">
        <v>81</v>
      </c>
      <c r="F42" t="s">
        <v>1070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1097</v>
      </c>
      <c r="B43" t="s">
        <v>32</v>
      </c>
      <c r="C43">
        <v>26</v>
      </c>
      <c r="D43">
        <v>4</v>
      </c>
      <c r="E43" t="s">
        <v>85</v>
      </c>
      <c r="F43" t="s">
        <v>1070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1098</v>
      </c>
      <c r="B44" t="s">
        <v>32</v>
      </c>
      <c r="C44">
        <v>31</v>
      </c>
      <c r="D44">
        <v>8</v>
      </c>
      <c r="E44" t="s">
        <v>63</v>
      </c>
      <c r="F44" t="s">
        <v>1070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1099</v>
      </c>
      <c r="B45" t="s">
        <v>32</v>
      </c>
      <c r="C45">
        <v>26</v>
      </c>
      <c r="D45">
        <v>5</v>
      </c>
      <c r="E45" t="s">
        <v>512</v>
      </c>
      <c r="F45" t="s">
        <v>1070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1100</v>
      </c>
      <c r="B46" t="s">
        <v>44</v>
      </c>
      <c r="C46">
        <v>27</v>
      </c>
      <c r="D46">
        <v>5</v>
      </c>
      <c r="E46" t="s">
        <v>398</v>
      </c>
      <c r="F46" t="s">
        <v>1070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1101</v>
      </c>
      <c r="B47" t="s">
        <v>44</v>
      </c>
      <c r="C47">
        <v>30</v>
      </c>
      <c r="D47">
        <v>7</v>
      </c>
      <c r="E47" t="s">
        <v>392</v>
      </c>
      <c r="F47" t="s">
        <v>1070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1102</v>
      </c>
      <c r="B48" t="s">
        <v>44</v>
      </c>
      <c r="C48">
        <v>24</v>
      </c>
      <c r="D48">
        <v>0</v>
      </c>
      <c r="E48" t="s">
        <v>1103</v>
      </c>
      <c r="F48" t="s">
        <v>1070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1104</v>
      </c>
      <c r="B49" t="s">
        <v>44</v>
      </c>
      <c r="C49">
        <v>28</v>
      </c>
      <c r="D49">
        <v>4</v>
      </c>
      <c r="E49" t="s">
        <v>291</v>
      </c>
      <c r="F49" t="s">
        <v>1070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1105</v>
      </c>
      <c r="B50" t="s">
        <v>44</v>
      </c>
      <c r="C50">
        <v>24</v>
      </c>
      <c r="D50">
        <v>0</v>
      </c>
      <c r="E50" t="s">
        <v>1093</v>
      </c>
      <c r="F50" t="s">
        <v>1070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1106</v>
      </c>
      <c r="B51" t="s">
        <v>44</v>
      </c>
      <c r="C51">
        <v>23</v>
      </c>
      <c r="D51">
        <v>0</v>
      </c>
      <c r="E51" t="s">
        <v>515</v>
      </c>
      <c r="F51" t="s">
        <v>1070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1107</v>
      </c>
      <c r="B52" t="s">
        <v>44</v>
      </c>
      <c r="C52">
        <v>22</v>
      </c>
      <c r="D52">
        <v>0</v>
      </c>
      <c r="E52" t="s">
        <v>97</v>
      </c>
      <c r="F52" t="s">
        <v>1070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1108</v>
      </c>
      <c r="B53" t="s">
        <v>44</v>
      </c>
      <c r="C53">
        <v>29</v>
      </c>
      <c r="D53">
        <v>7</v>
      </c>
      <c r="E53" t="s">
        <v>1109</v>
      </c>
      <c r="F53" t="s">
        <v>1070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1110</v>
      </c>
      <c r="B54" t="s">
        <v>44</v>
      </c>
      <c r="C54">
        <v>24</v>
      </c>
      <c r="D54">
        <v>0</v>
      </c>
      <c r="E54" t="s">
        <v>239</v>
      </c>
      <c r="F54" t="s">
        <v>1070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1111</v>
      </c>
      <c r="B55" t="s">
        <v>44</v>
      </c>
      <c r="C55">
        <v>24</v>
      </c>
      <c r="D55">
        <v>3</v>
      </c>
      <c r="E55" t="s">
        <v>176</v>
      </c>
      <c r="F55" t="s">
        <v>1070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1112</v>
      </c>
      <c r="B56" t="s">
        <v>44</v>
      </c>
      <c r="C56">
        <v>24</v>
      </c>
      <c r="D56">
        <v>2</v>
      </c>
      <c r="E56" t="s">
        <v>153</v>
      </c>
      <c r="F56" t="s">
        <v>1070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1113</v>
      </c>
      <c r="B57" t="s">
        <v>44</v>
      </c>
      <c r="C57">
        <v>28</v>
      </c>
      <c r="D57">
        <v>4</v>
      </c>
      <c r="E57" t="s">
        <v>293</v>
      </c>
      <c r="F57" t="s">
        <v>1070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1114</v>
      </c>
      <c r="B58" t="s">
        <v>39</v>
      </c>
      <c r="C58">
        <v>25</v>
      </c>
      <c r="D58">
        <v>0</v>
      </c>
      <c r="E58" t="s">
        <v>1115</v>
      </c>
      <c r="F58" t="s">
        <v>1070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1116</v>
      </c>
      <c r="B59" t="s">
        <v>39</v>
      </c>
      <c r="C59">
        <v>23</v>
      </c>
      <c r="D59">
        <v>0</v>
      </c>
      <c r="E59" t="s">
        <v>1117</v>
      </c>
      <c r="F59" t="s">
        <v>1070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1118</v>
      </c>
      <c r="B60" t="s">
        <v>39</v>
      </c>
      <c r="C60">
        <v>30</v>
      </c>
      <c r="D60">
        <v>8</v>
      </c>
      <c r="E60" t="s">
        <v>211</v>
      </c>
      <c r="F60" t="s">
        <v>1070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1119</v>
      </c>
      <c r="B61" t="s">
        <v>39</v>
      </c>
      <c r="C61">
        <v>29</v>
      </c>
      <c r="D61">
        <v>5</v>
      </c>
      <c r="E61" t="s">
        <v>1120</v>
      </c>
      <c r="F61" t="s">
        <v>1070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1121</v>
      </c>
      <c r="B62" t="s">
        <v>39</v>
      </c>
      <c r="C62">
        <v>27</v>
      </c>
      <c r="D62">
        <v>5</v>
      </c>
      <c r="E62" t="s">
        <v>363</v>
      </c>
      <c r="F62" t="s">
        <v>1070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AB60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1122</v>
      </c>
      <c r="B2" t="s">
        <v>1123</v>
      </c>
      <c r="C2" t="s">
        <v>112</v>
      </c>
      <c r="D2">
        <v>9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7</v>
      </c>
      <c r="L2">
        <v>2</v>
      </c>
      <c r="M2">
        <v>12</v>
      </c>
      <c r="N2">
        <v>10</v>
      </c>
      <c r="O2">
        <v>86</v>
      </c>
      <c r="P2">
        <v>0</v>
      </c>
      <c r="Q2">
        <v>0</v>
      </c>
      <c r="R2">
        <v>0</v>
      </c>
      <c r="S2">
        <v>31.3</v>
      </c>
      <c r="T2">
        <v>2.0547945205479499E-2</v>
      </c>
      <c r="U2">
        <v>1.75</v>
      </c>
      <c r="V2">
        <v>8.6</v>
      </c>
      <c r="Y2">
        <v>26.3</v>
      </c>
    </row>
    <row r="3" spans="1:25" x14ac:dyDescent="0.2">
      <c r="A3" t="s">
        <v>1124</v>
      </c>
      <c r="B3" t="s">
        <v>1123</v>
      </c>
      <c r="C3" t="s">
        <v>27</v>
      </c>
      <c r="D3">
        <v>17</v>
      </c>
      <c r="E3">
        <v>643</v>
      </c>
      <c r="F3">
        <v>424</v>
      </c>
      <c r="G3">
        <v>4547</v>
      </c>
      <c r="H3">
        <v>29</v>
      </c>
      <c r="I3">
        <v>14</v>
      </c>
      <c r="J3">
        <v>31</v>
      </c>
      <c r="K3">
        <v>97</v>
      </c>
      <c r="L3">
        <v>2</v>
      </c>
      <c r="M3">
        <v>0</v>
      </c>
      <c r="N3">
        <v>0</v>
      </c>
      <c r="O3">
        <v>0</v>
      </c>
      <c r="P3">
        <v>0</v>
      </c>
      <c r="Q3">
        <v>3</v>
      </c>
      <c r="R3">
        <v>3</v>
      </c>
      <c r="S3">
        <v>291.58</v>
      </c>
      <c r="T3">
        <v>0</v>
      </c>
      <c r="U3">
        <v>3.12903225806452</v>
      </c>
      <c r="W3">
        <v>0.65940902021772896</v>
      </c>
      <c r="X3">
        <v>4.5101088646967297E-2</v>
      </c>
      <c r="Y3">
        <v>305.58</v>
      </c>
    </row>
    <row r="4" spans="1:25" x14ac:dyDescent="0.2">
      <c r="A4" t="s">
        <v>1125</v>
      </c>
      <c r="B4" t="s">
        <v>1123</v>
      </c>
      <c r="C4" t="s">
        <v>27</v>
      </c>
      <c r="D4">
        <v>4</v>
      </c>
      <c r="E4">
        <v>25</v>
      </c>
      <c r="F4">
        <v>21</v>
      </c>
      <c r="G4">
        <v>224</v>
      </c>
      <c r="H4">
        <v>1</v>
      </c>
      <c r="I4">
        <v>1</v>
      </c>
      <c r="J4">
        <v>4</v>
      </c>
      <c r="K4">
        <v>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11.76</v>
      </c>
      <c r="T4">
        <v>0</v>
      </c>
      <c r="U4">
        <v>2</v>
      </c>
      <c r="W4">
        <v>0.84</v>
      </c>
      <c r="X4">
        <v>0.04</v>
      </c>
      <c r="Y4">
        <v>12.76</v>
      </c>
    </row>
    <row r="5" spans="1:25" x14ac:dyDescent="0.2">
      <c r="A5" t="s">
        <v>1126</v>
      </c>
      <c r="B5" t="s">
        <v>1123</v>
      </c>
      <c r="C5" t="s">
        <v>32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74</v>
      </c>
      <c r="K5">
        <v>283</v>
      </c>
      <c r="L5">
        <v>5</v>
      </c>
      <c r="M5">
        <v>18</v>
      </c>
      <c r="N5">
        <v>15</v>
      </c>
      <c r="O5">
        <v>91</v>
      </c>
      <c r="P5">
        <v>1</v>
      </c>
      <c r="Q5">
        <v>0</v>
      </c>
      <c r="R5">
        <v>0</v>
      </c>
      <c r="S5">
        <v>88.4</v>
      </c>
      <c r="T5">
        <v>3.0821917808219201E-2</v>
      </c>
      <c r="U5">
        <v>3.8243243243243201</v>
      </c>
      <c r="V5">
        <v>6.06666666666667</v>
      </c>
      <c r="Y5">
        <v>80.900000000000006</v>
      </c>
    </row>
    <row r="6" spans="1:25" x14ac:dyDescent="0.2">
      <c r="A6" t="s">
        <v>1127</v>
      </c>
      <c r="B6" t="s">
        <v>1123</v>
      </c>
      <c r="C6" t="s">
        <v>32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264</v>
      </c>
      <c r="K6">
        <v>1173</v>
      </c>
      <c r="L6">
        <v>8</v>
      </c>
      <c r="M6">
        <v>56</v>
      </c>
      <c r="N6">
        <v>39</v>
      </c>
      <c r="O6">
        <v>295</v>
      </c>
      <c r="P6">
        <v>2</v>
      </c>
      <c r="Q6">
        <v>4</v>
      </c>
      <c r="R6">
        <v>0</v>
      </c>
      <c r="S6">
        <v>237.8</v>
      </c>
      <c r="T6">
        <v>9.5890410958904104E-2</v>
      </c>
      <c r="U6">
        <v>4.4431818181818201</v>
      </c>
      <c r="V6">
        <v>7.5641025641025603</v>
      </c>
      <c r="Y6">
        <v>218.3</v>
      </c>
    </row>
    <row r="7" spans="1:25" x14ac:dyDescent="0.2">
      <c r="A7" t="s">
        <v>1128</v>
      </c>
      <c r="B7" t="s">
        <v>1123</v>
      </c>
      <c r="C7" t="s">
        <v>32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9</v>
      </c>
      <c r="K7">
        <v>14</v>
      </c>
      <c r="L7">
        <v>0</v>
      </c>
      <c r="M7">
        <v>2</v>
      </c>
      <c r="N7">
        <v>2</v>
      </c>
      <c r="O7">
        <v>21</v>
      </c>
      <c r="P7">
        <v>0</v>
      </c>
      <c r="Q7">
        <v>0</v>
      </c>
      <c r="R7">
        <v>0</v>
      </c>
      <c r="S7">
        <v>11.5</v>
      </c>
      <c r="T7">
        <v>3.4246575342465799E-3</v>
      </c>
      <c r="U7">
        <v>1.55555555555556</v>
      </c>
      <c r="V7">
        <v>10.5</v>
      </c>
      <c r="Y7">
        <v>4.5</v>
      </c>
    </row>
    <row r="8" spans="1:25" x14ac:dyDescent="0.2">
      <c r="A8" t="s">
        <v>1129</v>
      </c>
      <c r="B8" t="s">
        <v>1123</v>
      </c>
      <c r="C8" t="s">
        <v>32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6</v>
      </c>
      <c r="K8">
        <v>20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3.3333333333333299</v>
      </c>
      <c r="Y8">
        <v>2</v>
      </c>
    </row>
    <row r="9" spans="1:25" x14ac:dyDescent="0.2">
      <c r="A9" t="s">
        <v>1130</v>
      </c>
      <c r="B9" t="s">
        <v>1123</v>
      </c>
      <c r="C9" t="s">
        <v>39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</v>
      </c>
      <c r="N9">
        <v>3</v>
      </c>
      <c r="O9">
        <v>26</v>
      </c>
      <c r="P9">
        <v>0</v>
      </c>
      <c r="Q9">
        <v>0</v>
      </c>
      <c r="R9">
        <v>0</v>
      </c>
      <c r="S9">
        <v>5.6</v>
      </c>
      <c r="T9">
        <v>5.1369863013698601E-3</v>
      </c>
      <c r="V9">
        <v>8.6666666666666696</v>
      </c>
      <c r="Y9">
        <v>4.0999999999999996</v>
      </c>
    </row>
    <row r="10" spans="1:25" x14ac:dyDescent="0.2">
      <c r="A10" t="s">
        <v>1131</v>
      </c>
      <c r="B10" t="s">
        <v>1123</v>
      </c>
      <c r="C10" t="s">
        <v>39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36</v>
      </c>
      <c r="N10">
        <v>25</v>
      </c>
      <c r="O10">
        <v>182</v>
      </c>
      <c r="P10">
        <v>2</v>
      </c>
      <c r="Q10">
        <v>0</v>
      </c>
      <c r="R10">
        <v>0</v>
      </c>
      <c r="S10">
        <v>55.2</v>
      </c>
      <c r="T10">
        <v>6.1643835616438401E-2</v>
      </c>
      <c r="V10">
        <v>7.28</v>
      </c>
      <c r="Y10">
        <v>42.7</v>
      </c>
    </row>
    <row r="11" spans="1:25" x14ac:dyDescent="0.2">
      <c r="A11" t="s">
        <v>1132</v>
      </c>
      <c r="B11" t="s">
        <v>1123</v>
      </c>
      <c r="C11" t="s">
        <v>39</v>
      </c>
      <c r="D11">
        <v>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21</v>
      </c>
      <c r="N11">
        <v>19</v>
      </c>
      <c r="O11">
        <v>140</v>
      </c>
      <c r="P11">
        <v>1</v>
      </c>
      <c r="Q11">
        <v>0</v>
      </c>
      <c r="R11">
        <v>0</v>
      </c>
      <c r="S11">
        <v>39</v>
      </c>
      <c r="T11">
        <v>3.5958904109588997E-2</v>
      </c>
      <c r="V11">
        <v>7.3684210526315796</v>
      </c>
      <c r="Y11">
        <v>29.5</v>
      </c>
    </row>
    <row r="12" spans="1:25" x14ac:dyDescent="0.2">
      <c r="A12" t="s">
        <v>653</v>
      </c>
      <c r="B12" t="s">
        <v>1123</v>
      </c>
      <c r="C12" t="s">
        <v>39</v>
      </c>
      <c r="D12">
        <v>10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86</v>
      </c>
      <c r="N12">
        <v>60</v>
      </c>
      <c r="O12">
        <v>519</v>
      </c>
      <c r="P12">
        <v>3</v>
      </c>
      <c r="Q12">
        <v>0</v>
      </c>
      <c r="R12">
        <v>0</v>
      </c>
      <c r="S12">
        <v>129.9</v>
      </c>
      <c r="T12">
        <v>0.147260273972603</v>
      </c>
      <c r="V12">
        <v>8.65</v>
      </c>
      <c r="Y12">
        <v>99.9</v>
      </c>
    </row>
    <row r="13" spans="1:25" x14ac:dyDescent="0.2">
      <c r="A13" t="s">
        <v>1133</v>
      </c>
      <c r="B13" t="s">
        <v>1123</v>
      </c>
      <c r="C13" t="s">
        <v>44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0</v>
      </c>
      <c r="M13">
        <v>107</v>
      </c>
      <c r="N13">
        <v>70</v>
      </c>
      <c r="O13">
        <v>716</v>
      </c>
      <c r="P13">
        <v>6</v>
      </c>
      <c r="Q13">
        <v>0</v>
      </c>
      <c r="R13">
        <v>0</v>
      </c>
      <c r="S13">
        <v>180</v>
      </c>
      <c r="T13">
        <v>0.18321917808219201</v>
      </c>
      <c r="U13">
        <v>4</v>
      </c>
      <c r="V13">
        <v>10.228571428571399</v>
      </c>
      <c r="Y13">
        <v>143</v>
      </c>
    </row>
    <row r="14" spans="1:25" x14ac:dyDescent="0.2">
      <c r="A14" t="s">
        <v>1134</v>
      </c>
      <c r="B14" t="s">
        <v>1123</v>
      </c>
      <c r="C14" t="s">
        <v>44</v>
      </c>
      <c r="D14">
        <v>17</v>
      </c>
      <c r="E14">
        <v>2</v>
      </c>
      <c r="F14">
        <v>2</v>
      </c>
      <c r="G14">
        <v>34</v>
      </c>
      <c r="H14">
        <v>0</v>
      </c>
      <c r="I14">
        <v>0</v>
      </c>
      <c r="J14">
        <v>4</v>
      </c>
      <c r="K14">
        <v>24</v>
      </c>
      <c r="L14">
        <v>1</v>
      </c>
      <c r="M14">
        <v>184</v>
      </c>
      <c r="N14">
        <v>128</v>
      </c>
      <c r="O14">
        <v>1809</v>
      </c>
      <c r="P14">
        <v>8</v>
      </c>
      <c r="Q14">
        <v>0</v>
      </c>
      <c r="R14">
        <v>0</v>
      </c>
      <c r="S14">
        <v>368.66</v>
      </c>
      <c r="T14">
        <v>0.31506849315068503</v>
      </c>
      <c r="U14">
        <v>6</v>
      </c>
      <c r="V14">
        <v>14.1328125</v>
      </c>
      <c r="W14">
        <v>1</v>
      </c>
      <c r="X14">
        <v>0</v>
      </c>
      <c r="Y14">
        <v>301.3</v>
      </c>
    </row>
    <row r="15" spans="1:25" x14ac:dyDescent="0.2">
      <c r="A15" t="s">
        <v>1135</v>
      </c>
      <c r="B15" t="s">
        <v>1123</v>
      </c>
      <c r="C15" t="s">
        <v>44</v>
      </c>
      <c r="D15">
        <v>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13</v>
      </c>
      <c r="N15">
        <v>9</v>
      </c>
      <c r="O15">
        <v>179</v>
      </c>
      <c r="P15">
        <v>1</v>
      </c>
      <c r="Q15">
        <v>0</v>
      </c>
      <c r="R15">
        <v>0</v>
      </c>
      <c r="S15">
        <v>32.9</v>
      </c>
      <c r="T15">
        <v>2.22602739726027E-2</v>
      </c>
      <c r="V15">
        <v>19.8888888888889</v>
      </c>
      <c r="Y15">
        <v>28.4</v>
      </c>
    </row>
    <row r="16" spans="1:25" x14ac:dyDescent="0.2">
      <c r="A16" t="s">
        <v>1136</v>
      </c>
      <c r="B16" t="s">
        <v>1123</v>
      </c>
      <c r="C16" t="s">
        <v>44</v>
      </c>
      <c r="D16">
        <v>10</v>
      </c>
      <c r="E16">
        <v>0</v>
      </c>
      <c r="F16">
        <v>0</v>
      </c>
      <c r="G16">
        <v>0</v>
      </c>
      <c r="H16">
        <v>0</v>
      </c>
      <c r="I16">
        <v>0</v>
      </c>
      <c r="J16">
        <v>4</v>
      </c>
      <c r="K16">
        <v>25</v>
      </c>
      <c r="L16">
        <v>0</v>
      </c>
      <c r="M16">
        <v>13</v>
      </c>
      <c r="N16">
        <v>8</v>
      </c>
      <c r="O16">
        <v>104</v>
      </c>
      <c r="P16">
        <v>1</v>
      </c>
      <c r="Q16">
        <v>0</v>
      </c>
      <c r="R16">
        <v>0</v>
      </c>
      <c r="S16">
        <v>26.9</v>
      </c>
      <c r="T16">
        <v>2.22602739726027E-2</v>
      </c>
      <c r="U16">
        <v>6.25</v>
      </c>
      <c r="V16">
        <v>13</v>
      </c>
      <c r="Y16">
        <v>22.9</v>
      </c>
    </row>
    <row r="17" spans="1:25" x14ac:dyDescent="0.2">
      <c r="A17" t="s">
        <v>1137</v>
      </c>
      <c r="B17" t="s">
        <v>1123</v>
      </c>
      <c r="C17" t="s">
        <v>44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3</v>
      </c>
      <c r="K17">
        <v>6</v>
      </c>
      <c r="L17">
        <v>0</v>
      </c>
      <c r="M17">
        <v>90</v>
      </c>
      <c r="N17">
        <v>60</v>
      </c>
      <c r="O17">
        <v>650</v>
      </c>
      <c r="P17">
        <v>5</v>
      </c>
      <c r="Q17">
        <v>0</v>
      </c>
      <c r="R17">
        <v>0</v>
      </c>
      <c r="S17">
        <v>155.6</v>
      </c>
      <c r="T17">
        <v>0.15410958904109601</v>
      </c>
      <c r="U17">
        <v>2</v>
      </c>
      <c r="V17">
        <v>10.8333333333333</v>
      </c>
      <c r="Y17">
        <v>125.6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1123</v>
      </c>
      <c r="B31">
        <v>6466</v>
      </c>
      <c r="C31">
        <v>4805</v>
      </c>
      <c r="D31">
        <v>404</v>
      </c>
      <c r="E31">
        <v>1661</v>
      </c>
      <c r="F31">
        <v>18</v>
      </c>
      <c r="G31">
        <v>1668.1</v>
      </c>
      <c r="H31">
        <v>670</v>
      </c>
      <c r="I31">
        <v>0.66716417910447801</v>
      </c>
      <c r="J31">
        <v>30</v>
      </c>
      <c r="K31">
        <v>15</v>
      </c>
      <c r="L31">
        <v>7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1138</v>
      </c>
      <c r="B36" t="s">
        <v>27</v>
      </c>
      <c r="C36">
        <v>34</v>
      </c>
      <c r="D36">
        <v>1</v>
      </c>
      <c r="E36" t="s">
        <v>733</v>
      </c>
      <c r="F36" t="s">
        <v>1123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1139</v>
      </c>
      <c r="B37" t="s">
        <v>27</v>
      </c>
      <c r="C37">
        <v>25</v>
      </c>
      <c r="D37">
        <v>0</v>
      </c>
      <c r="E37" t="s">
        <v>81</v>
      </c>
      <c r="F37" t="s">
        <v>1123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1140</v>
      </c>
      <c r="B38" t="s">
        <v>27</v>
      </c>
      <c r="C38">
        <v>28</v>
      </c>
      <c r="D38">
        <v>4</v>
      </c>
      <c r="E38" t="s">
        <v>237</v>
      </c>
      <c r="F38" t="s">
        <v>1123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1141</v>
      </c>
      <c r="B39" t="s">
        <v>32</v>
      </c>
      <c r="C39">
        <v>25</v>
      </c>
      <c r="D39">
        <v>0</v>
      </c>
      <c r="E39" t="s">
        <v>163</v>
      </c>
      <c r="F39" t="s">
        <v>1123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1142</v>
      </c>
      <c r="B40" t="s">
        <v>32</v>
      </c>
      <c r="C40">
        <v>25</v>
      </c>
      <c r="D40">
        <v>4</v>
      </c>
      <c r="E40" t="s">
        <v>293</v>
      </c>
      <c r="F40" t="s">
        <v>1123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1143</v>
      </c>
      <c r="B41" t="s">
        <v>32</v>
      </c>
      <c r="C41">
        <v>22</v>
      </c>
      <c r="D41">
        <v>0</v>
      </c>
      <c r="E41" t="s">
        <v>334</v>
      </c>
      <c r="F41" t="s">
        <v>1123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1144</v>
      </c>
      <c r="B42" t="s">
        <v>32</v>
      </c>
      <c r="C42">
        <v>25</v>
      </c>
      <c r="D42">
        <v>2</v>
      </c>
      <c r="E42" t="s">
        <v>243</v>
      </c>
      <c r="F42" t="s">
        <v>1123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1145</v>
      </c>
      <c r="B43" t="s">
        <v>44</v>
      </c>
      <c r="C43">
        <v>21</v>
      </c>
      <c r="D43">
        <v>0</v>
      </c>
      <c r="E43" t="s">
        <v>79</v>
      </c>
      <c r="F43" t="s">
        <v>1123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1146</v>
      </c>
      <c r="B44" t="s">
        <v>44</v>
      </c>
      <c r="C44">
        <v>25</v>
      </c>
      <c r="D44">
        <v>0</v>
      </c>
      <c r="E44" t="s">
        <v>1093</v>
      </c>
      <c r="F44" t="s">
        <v>1123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1147</v>
      </c>
      <c r="B45" t="s">
        <v>44</v>
      </c>
      <c r="C45">
        <v>25</v>
      </c>
      <c r="D45">
        <v>2</v>
      </c>
      <c r="E45" t="s">
        <v>1148</v>
      </c>
      <c r="F45" t="s">
        <v>1123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1149</v>
      </c>
      <c r="B46" t="s">
        <v>44</v>
      </c>
      <c r="C46">
        <v>24</v>
      </c>
      <c r="D46">
        <v>3</v>
      </c>
      <c r="E46" t="s">
        <v>222</v>
      </c>
      <c r="F46" t="s">
        <v>1123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1150</v>
      </c>
      <c r="B47" t="s">
        <v>44</v>
      </c>
      <c r="C47">
        <v>23</v>
      </c>
      <c r="D47">
        <v>0</v>
      </c>
      <c r="E47" t="s">
        <v>146</v>
      </c>
      <c r="F47" t="s">
        <v>1123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1151</v>
      </c>
      <c r="B48" t="s">
        <v>44</v>
      </c>
      <c r="C48">
        <v>22</v>
      </c>
      <c r="D48">
        <v>0</v>
      </c>
      <c r="E48" t="s">
        <v>560</v>
      </c>
      <c r="F48" t="s">
        <v>1123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1152</v>
      </c>
      <c r="B49" t="s">
        <v>44</v>
      </c>
      <c r="C49">
        <v>23</v>
      </c>
      <c r="D49">
        <v>0</v>
      </c>
      <c r="E49" t="s">
        <v>977</v>
      </c>
      <c r="F49" t="s">
        <v>1123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1153</v>
      </c>
      <c r="B50" t="s">
        <v>44</v>
      </c>
      <c r="C50">
        <v>24</v>
      </c>
      <c r="D50">
        <v>0</v>
      </c>
      <c r="E50" t="s">
        <v>733</v>
      </c>
      <c r="F50" t="s">
        <v>1123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1154</v>
      </c>
      <c r="B51" t="s">
        <v>44</v>
      </c>
      <c r="C51">
        <v>26</v>
      </c>
      <c r="D51">
        <v>3</v>
      </c>
      <c r="E51" t="s">
        <v>398</v>
      </c>
      <c r="F51" t="s">
        <v>1123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1155</v>
      </c>
      <c r="B52" t="s">
        <v>44</v>
      </c>
      <c r="C52">
        <v>27</v>
      </c>
      <c r="D52">
        <v>5</v>
      </c>
      <c r="E52" t="s">
        <v>176</v>
      </c>
      <c r="F52" t="s">
        <v>1123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1156</v>
      </c>
      <c r="B53" t="s">
        <v>44</v>
      </c>
      <c r="C53">
        <v>24</v>
      </c>
      <c r="D53">
        <v>2</v>
      </c>
      <c r="E53" t="s">
        <v>215</v>
      </c>
      <c r="F53" t="s">
        <v>1123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1157</v>
      </c>
      <c r="B54" t="s">
        <v>44</v>
      </c>
      <c r="C54">
        <v>24</v>
      </c>
      <c r="D54">
        <v>3</v>
      </c>
      <c r="E54" t="s">
        <v>77</v>
      </c>
      <c r="F54" t="s">
        <v>1123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1158</v>
      </c>
      <c r="B55" t="s">
        <v>44</v>
      </c>
      <c r="C55">
        <v>25</v>
      </c>
      <c r="D55">
        <v>0</v>
      </c>
      <c r="E55" t="s">
        <v>332</v>
      </c>
      <c r="F55" t="s">
        <v>1123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1159</v>
      </c>
      <c r="B56" t="s">
        <v>39</v>
      </c>
      <c r="C56">
        <v>26</v>
      </c>
      <c r="D56">
        <v>4</v>
      </c>
      <c r="E56" t="s">
        <v>95</v>
      </c>
      <c r="F56" t="s">
        <v>1123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1160</v>
      </c>
      <c r="B57" t="s">
        <v>39</v>
      </c>
      <c r="C57">
        <v>28</v>
      </c>
      <c r="D57">
        <v>5</v>
      </c>
      <c r="E57" t="s">
        <v>201</v>
      </c>
      <c r="F57" t="s">
        <v>1123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1161</v>
      </c>
      <c r="B58" t="s">
        <v>39</v>
      </c>
      <c r="C58">
        <v>24</v>
      </c>
      <c r="D58">
        <v>0</v>
      </c>
      <c r="E58" t="s">
        <v>342</v>
      </c>
      <c r="F58" t="s">
        <v>1123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1162</v>
      </c>
      <c r="B59" t="s">
        <v>39</v>
      </c>
      <c r="C59">
        <v>26</v>
      </c>
      <c r="D59">
        <v>4</v>
      </c>
      <c r="E59" t="s">
        <v>689</v>
      </c>
      <c r="F59" t="s">
        <v>1123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1163</v>
      </c>
      <c r="B60" t="s">
        <v>39</v>
      </c>
      <c r="C60">
        <v>23</v>
      </c>
      <c r="D60">
        <v>0</v>
      </c>
      <c r="E60" t="s">
        <v>394</v>
      </c>
      <c r="F60" t="s">
        <v>1123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AB60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1164</v>
      </c>
      <c r="B2" t="s">
        <v>1165</v>
      </c>
      <c r="C2" t="s">
        <v>27</v>
      </c>
      <c r="D2">
        <v>1</v>
      </c>
      <c r="E2">
        <v>6</v>
      </c>
      <c r="F2">
        <v>5</v>
      </c>
      <c r="G2">
        <v>37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1.48</v>
      </c>
      <c r="T2">
        <v>0</v>
      </c>
      <c r="W2">
        <v>0.83333333333333304</v>
      </c>
      <c r="X2">
        <v>0</v>
      </c>
      <c r="Y2">
        <v>1.48</v>
      </c>
    </row>
    <row r="3" spans="1:25" x14ac:dyDescent="0.2">
      <c r="A3" t="s">
        <v>1166</v>
      </c>
      <c r="B3" t="s">
        <v>1165</v>
      </c>
      <c r="C3" t="s">
        <v>27</v>
      </c>
      <c r="D3">
        <v>4</v>
      </c>
      <c r="E3">
        <v>92</v>
      </c>
      <c r="F3">
        <v>65</v>
      </c>
      <c r="G3">
        <v>781</v>
      </c>
      <c r="H3">
        <v>5</v>
      </c>
      <c r="I3">
        <v>3</v>
      </c>
      <c r="J3">
        <v>10</v>
      </c>
      <c r="K3">
        <v>0</v>
      </c>
      <c r="L3">
        <v>0</v>
      </c>
      <c r="M3">
        <v>1</v>
      </c>
      <c r="N3">
        <v>1</v>
      </c>
      <c r="O3">
        <v>-6</v>
      </c>
      <c r="P3">
        <v>0</v>
      </c>
      <c r="Q3">
        <v>3</v>
      </c>
      <c r="R3">
        <v>0</v>
      </c>
      <c r="S3">
        <v>39.64</v>
      </c>
      <c r="T3">
        <v>1.49253731343284E-3</v>
      </c>
      <c r="U3">
        <v>0</v>
      </c>
      <c r="V3">
        <v>-6</v>
      </c>
      <c r="W3">
        <v>0.70652173913043503</v>
      </c>
      <c r="X3">
        <v>5.4347826086956499E-2</v>
      </c>
      <c r="Y3">
        <v>42.24</v>
      </c>
    </row>
    <row r="4" spans="1:25" x14ac:dyDescent="0.2">
      <c r="A4" t="s">
        <v>862</v>
      </c>
      <c r="B4" t="s">
        <v>1165</v>
      </c>
      <c r="C4" t="s">
        <v>27</v>
      </c>
      <c r="D4">
        <v>14</v>
      </c>
      <c r="E4">
        <v>442</v>
      </c>
      <c r="F4">
        <v>288</v>
      </c>
      <c r="G4">
        <v>2997</v>
      </c>
      <c r="H4">
        <v>14</v>
      </c>
      <c r="I4">
        <v>11</v>
      </c>
      <c r="J4">
        <v>47</v>
      </c>
      <c r="K4">
        <v>102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170.08</v>
      </c>
      <c r="T4">
        <v>0</v>
      </c>
      <c r="U4">
        <v>2.1702127659574502</v>
      </c>
      <c r="W4">
        <v>0.65158371040723995</v>
      </c>
      <c r="X4">
        <v>3.1674208144796399E-2</v>
      </c>
      <c r="Y4">
        <v>181.08</v>
      </c>
    </row>
    <row r="5" spans="1:25" x14ac:dyDescent="0.2">
      <c r="A5" t="s">
        <v>1167</v>
      </c>
      <c r="B5" t="s">
        <v>1165</v>
      </c>
      <c r="C5" t="s">
        <v>32</v>
      </c>
      <c r="D5">
        <v>11</v>
      </c>
      <c r="E5">
        <v>0</v>
      </c>
      <c r="F5">
        <v>0</v>
      </c>
      <c r="G5">
        <v>0</v>
      </c>
      <c r="H5">
        <v>0</v>
      </c>
      <c r="I5">
        <v>0</v>
      </c>
      <c r="J5">
        <v>106</v>
      </c>
      <c r="K5">
        <v>462</v>
      </c>
      <c r="L5">
        <v>3</v>
      </c>
      <c r="M5">
        <v>23</v>
      </c>
      <c r="N5">
        <v>17</v>
      </c>
      <c r="O5">
        <v>97</v>
      </c>
      <c r="P5">
        <v>0</v>
      </c>
      <c r="Q5">
        <v>0</v>
      </c>
      <c r="R5">
        <v>0</v>
      </c>
      <c r="S5">
        <v>90.9</v>
      </c>
      <c r="T5">
        <v>3.4328358208955197E-2</v>
      </c>
      <c r="U5">
        <v>4.35849056603774</v>
      </c>
      <c r="V5">
        <v>5.7058823529411802</v>
      </c>
      <c r="Y5">
        <v>82.4</v>
      </c>
    </row>
    <row r="6" spans="1:25" x14ac:dyDescent="0.2">
      <c r="A6" t="s">
        <v>800</v>
      </c>
      <c r="B6" t="s">
        <v>1165</v>
      </c>
      <c r="C6" t="s">
        <v>32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10</v>
      </c>
      <c r="K6">
        <v>9</v>
      </c>
      <c r="L6">
        <v>0</v>
      </c>
      <c r="M6">
        <v>1</v>
      </c>
      <c r="N6">
        <v>1</v>
      </c>
      <c r="O6">
        <v>8</v>
      </c>
      <c r="P6">
        <v>0</v>
      </c>
      <c r="Q6">
        <v>0</v>
      </c>
      <c r="R6">
        <v>0</v>
      </c>
      <c r="S6">
        <v>2.7</v>
      </c>
      <c r="T6">
        <v>1.49253731343284E-3</v>
      </c>
      <c r="U6">
        <v>0.9</v>
      </c>
      <c r="V6">
        <v>8</v>
      </c>
      <c r="Y6">
        <v>2.2000000000000002</v>
      </c>
    </row>
    <row r="7" spans="1:25" x14ac:dyDescent="0.2">
      <c r="A7" t="s">
        <v>1168</v>
      </c>
      <c r="B7" t="s">
        <v>1165</v>
      </c>
      <c r="C7" t="s">
        <v>32</v>
      </c>
      <c r="D7">
        <v>5</v>
      </c>
      <c r="E7">
        <v>0</v>
      </c>
      <c r="F7">
        <v>0</v>
      </c>
      <c r="G7">
        <v>0</v>
      </c>
      <c r="H7">
        <v>0</v>
      </c>
      <c r="I7">
        <v>0</v>
      </c>
      <c r="J7">
        <v>18</v>
      </c>
      <c r="K7">
        <v>52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11.2</v>
      </c>
      <c r="T7">
        <v>0</v>
      </c>
      <c r="U7">
        <v>2.8888888888888902</v>
      </c>
      <c r="Y7">
        <v>11.2</v>
      </c>
    </row>
    <row r="8" spans="1:25" x14ac:dyDescent="0.2">
      <c r="A8" t="s">
        <v>1169</v>
      </c>
      <c r="B8" t="s">
        <v>1165</v>
      </c>
      <c r="C8" t="s">
        <v>32</v>
      </c>
      <c r="D8">
        <v>4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100</v>
      </c>
      <c r="L8">
        <v>1</v>
      </c>
      <c r="M8">
        <v>7</v>
      </c>
      <c r="N8">
        <v>7</v>
      </c>
      <c r="O8">
        <v>42</v>
      </c>
      <c r="P8">
        <v>0</v>
      </c>
      <c r="Q8">
        <v>0</v>
      </c>
      <c r="R8">
        <v>0</v>
      </c>
      <c r="S8">
        <v>27.2</v>
      </c>
      <c r="T8">
        <v>1.04477611940299E-2</v>
      </c>
      <c r="U8">
        <v>10</v>
      </c>
      <c r="V8">
        <v>6</v>
      </c>
      <c r="Y8">
        <v>23.7</v>
      </c>
    </row>
    <row r="9" spans="1:25" x14ac:dyDescent="0.2">
      <c r="A9" t="s">
        <v>1170</v>
      </c>
      <c r="B9" t="s">
        <v>1165</v>
      </c>
      <c r="C9" t="s">
        <v>32</v>
      </c>
      <c r="D9">
        <v>17</v>
      </c>
      <c r="E9">
        <v>0</v>
      </c>
      <c r="F9">
        <v>0</v>
      </c>
      <c r="G9">
        <v>0</v>
      </c>
      <c r="H9">
        <v>0</v>
      </c>
      <c r="I9">
        <v>0</v>
      </c>
      <c r="J9">
        <v>210</v>
      </c>
      <c r="K9">
        <v>1040</v>
      </c>
      <c r="L9">
        <v>5</v>
      </c>
      <c r="M9">
        <v>88</v>
      </c>
      <c r="N9">
        <v>69</v>
      </c>
      <c r="O9">
        <v>421</v>
      </c>
      <c r="P9">
        <v>1</v>
      </c>
      <c r="Q9">
        <v>1</v>
      </c>
      <c r="R9">
        <v>0</v>
      </c>
      <c r="S9">
        <v>249.1</v>
      </c>
      <c r="T9">
        <v>0.13134328358208999</v>
      </c>
      <c r="U9">
        <v>4.9523809523809499</v>
      </c>
      <c r="V9">
        <v>6.1014492753623202</v>
      </c>
      <c r="Y9">
        <v>214.6</v>
      </c>
    </row>
    <row r="10" spans="1:25" x14ac:dyDescent="0.2">
      <c r="A10" t="s">
        <v>1171</v>
      </c>
      <c r="B10" t="s">
        <v>1165</v>
      </c>
      <c r="C10" t="s">
        <v>39</v>
      </c>
      <c r="D10">
        <v>16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59</v>
      </c>
      <c r="N10">
        <v>41</v>
      </c>
      <c r="O10">
        <v>509</v>
      </c>
      <c r="P10">
        <v>2</v>
      </c>
      <c r="Q10">
        <v>0</v>
      </c>
      <c r="R10">
        <v>0</v>
      </c>
      <c r="S10">
        <v>103.9</v>
      </c>
      <c r="T10">
        <v>8.8059701492537307E-2</v>
      </c>
      <c r="V10">
        <v>12.4146341463415</v>
      </c>
      <c r="Y10">
        <v>83.4</v>
      </c>
    </row>
    <row r="11" spans="1:25" x14ac:dyDescent="0.2">
      <c r="A11" t="s">
        <v>1172</v>
      </c>
      <c r="B11" t="s">
        <v>1165</v>
      </c>
      <c r="C11" t="s">
        <v>39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5</v>
      </c>
      <c r="L11">
        <v>0</v>
      </c>
      <c r="M11">
        <v>38</v>
      </c>
      <c r="N11">
        <v>27</v>
      </c>
      <c r="O11">
        <v>245</v>
      </c>
      <c r="P11">
        <v>0</v>
      </c>
      <c r="Q11">
        <v>0</v>
      </c>
      <c r="R11">
        <v>0</v>
      </c>
      <c r="S11">
        <v>52</v>
      </c>
      <c r="T11">
        <v>5.6716417910447799E-2</v>
      </c>
      <c r="U11">
        <v>5</v>
      </c>
      <c r="V11">
        <v>9.0740740740740709</v>
      </c>
      <c r="Y11">
        <v>38.5</v>
      </c>
    </row>
    <row r="12" spans="1:25" x14ac:dyDescent="0.2">
      <c r="A12" t="s">
        <v>1173</v>
      </c>
      <c r="B12" t="s">
        <v>1165</v>
      </c>
      <c r="C12" t="s">
        <v>44</v>
      </c>
      <c r="D12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47</v>
      </c>
      <c r="N12">
        <v>31</v>
      </c>
      <c r="O12">
        <v>539</v>
      </c>
      <c r="P12">
        <v>3</v>
      </c>
      <c r="Q12">
        <v>0</v>
      </c>
      <c r="R12">
        <v>0</v>
      </c>
      <c r="S12">
        <v>102.9</v>
      </c>
      <c r="T12">
        <v>7.01492537313433E-2</v>
      </c>
      <c r="V12">
        <v>17.387096774193498</v>
      </c>
      <c r="Y12">
        <v>87.4</v>
      </c>
    </row>
    <row r="13" spans="1:25" x14ac:dyDescent="0.2">
      <c r="A13" t="s">
        <v>1174</v>
      </c>
      <c r="B13" t="s">
        <v>1165</v>
      </c>
      <c r="C13" t="s">
        <v>44</v>
      </c>
      <c r="D13">
        <v>14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9</v>
      </c>
      <c r="L13">
        <v>0</v>
      </c>
      <c r="M13">
        <v>96</v>
      </c>
      <c r="N13">
        <v>67</v>
      </c>
      <c r="O13">
        <v>804</v>
      </c>
      <c r="P13">
        <v>6</v>
      </c>
      <c r="Q13">
        <v>0</v>
      </c>
      <c r="R13">
        <v>0</v>
      </c>
      <c r="S13">
        <v>184.3</v>
      </c>
      <c r="T13">
        <v>0.143283582089552</v>
      </c>
      <c r="U13">
        <v>4.5</v>
      </c>
      <c r="V13">
        <v>12</v>
      </c>
      <c r="Y13">
        <v>150.80000000000001</v>
      </c>
    </row>
    <row r="14" spans="1:25" x14ac:dyDescent="0.2">
      <c r="A14" t="s">
        <v>1175</v>
      </c>
      <c r="B14" t="s">
        <v>1165</v>
      </c>
      <c r="C14" t="s">
        <v>44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39</v>
      </c>
      <c r="L14">
        <v>0</v>
      </c>
      <c r="M14">
        <v>48</v>
      </c>
      <c r="N14">
        <v>35</v>
      </c>
      <c r="O14">
        <v>434</v>
      </c>
      <c r="P14">
        <v>1</v>
      </c>
      <c r="Q14">
        <v>0</v>
      </c>
      <c r="R14">
        <v>0</v>
      </c>
      <c r="S14">
        <v>88.3</v>
      </c>
      <c r="T14">
        <v>7.1641791044776096E-2</v>
      </c>
      <c r="U14">
        <v>6.5</v>
      </c>
      <c r="V14">
        <v>12.4</v>
      </c>
      <c r="Y14">
        <v>70.8</v>
      </c>
    </row>
    <row r="15" spans="1:25" x14ac:dyDescent="0.2">
      <c r="A15" t="s">
        <v>1176</v>
      </c>
      <c r="B15" t="s">
        <v>1165</v>
      </c>
      <c r="C15" t="s">
        <v>44</v>
      </c>
      <c r="D15">
        <v>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</v>
      </c>
      <c r="N15">
        <v>2</v>
      </c>
      <c r="O15">
        <v>20</v>
      </c>
      <c r="P15">
        <v>0</v>
      </c>
      <c r="Q15">
        <v>0</v>
      </c>
      <c r="R15">
        <v>0</v>
      </c>
      <c r="S15">
        <v>4</v>
      </c>
      <c r="T15">
        <v>5.9701492537313399E-3</v>
      </c>
      <c r="V15">
        <v>10</v>
      </c>
      <c r="Y15">
        <v>3</v>
      </c>
    </row>
    <row r="16" spans="1:25" x14ac:dyDescent="0.2">
      <c r="A16" t="s">
        <v>1177</v>
      </c>
      <c r="B16" t="s">
        <v>1165</v>
      </c>
      <c r="C16" t="s">
        <v>44</v>
      </c>
      <c r="D16">
        <v>14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53</v>
      </c>
      <c r="N16">
        <v>31</v>
      </c>
      <c r="O16">
        <v>362</v>
      </c>
      <c r="P16">
        <v>2</v>
      </c>
      <c r="Q16">
        <v>0</v>
      </c>
      <c r="R16">
        <v>0</v>
      </c>
      <c r="S16">
        <v>75.2</v>
      </c>
      <c r="T16">
        <v>7.9104477611940296E-2</v>
      </c>
      <c r="V16">
        <v>11.677419354838699</v>
      </c>
      <c r="Y16">
        <v>63.7</v>
      </c>
    </row>
    <row r="17" spans="1:25" x14ac:dyDescent="0.2">
      <c r="A17" t="s">
        <v>1178</v>
      </c>
      <c r="B17" t="s">
        <v>1165</v>
      </c>
      <c r="C17" t="s">
        <v>44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-2</v>
      </c>
      <c r="L17">
        <v>0</v>
      </c>
      <c r="M17">
        <v>4</v>
      </c>
      <c r="N17">
        <v>3</v>
      </c>
      <c r="O17">
        <v>15</v>
      </c>
      <c r="P17">
        <v>1</v>
      </c>
      <c r="Q17">
        <v>0</v>
      </c>
      <c r="R17">
        <v>0</v>
      </c>
      <c r="S17">
        <v>10.3</v>
      </c>
      <c r="T17">
        <v>5.9701492537313399E-3</v>
      </c>
      <c r="U17">
        <v>-1</v>
      </c>
      <c r="V17">
        <v>5</v>
      </c>
      <c r="Y17">
        <v>8.8000000000000007</v>
      </c>
    </row>
    <row r="18" spans="1:25" x14ac:dyDescent="0.2">
      <c r="A18" t="s">
        <v>1179</v>
      </c>
      <c r="B18" t="s">
        <v>1165</v>
      </c>
      <c r="C18" t="s">
        <v>44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3</v>
      </c>
      <c r="K18">
        <v>16</v>
      </c>
      <c r="L18">
        <v>1</v>
      </c>
      <c r="M18">
        <v>45</v>
      </c>
      <c r="N18">
        <v>22</v>
      </c>
      <c r="O18">
        <v>247</v>
      </c>
      <c r="P18">
        <v>2</v>
      </c>
      <c r="Q18">
        <v>0</v>
      </c>
      <c r="R18">
        <v>0</v>
      </c>
      <c r="S18">
        <v>66.3</v>
      </c>
      <c r="T18">
        <v>6.7164179104477598E-2</v>
      </c>
      <c r="U18">
        <v>5.3333333333333304</v>
      </c>
      <c r="V18">
        <v>11.2272727272727</v>
      </c>
      <c r="Y18">
        <v>55.3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1165</v>
      </c>
      <c r="B31">
        <v>5647</v>
      </c>
      <c r="C31">
        <v>3815</v>
      </c>
      <c r="D31">
        <v>425</v>
      </c>
      <c r="E31">
        <v>1832</v>
      </c>
      <c r="F31">
        <v>12</v>
      </c>
      <c r="G31">
        <v>1279.5</v>
      </c>
      <c r="H31">
        <v>540</v>
      </c>
      <c r="I31">
        <v>0.66296296296296298</v>
      </c>
      <c r="J31">
        <v>19</v>
      </c>
      <c r="K31">
        <v>14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1180</v>
      </c>
      <c r="B36" t="s">
        <v>27</v>
      </c>
      <c r="C36">
        <v>24</v>
      </c>
      <c r="D36">
        <v>0</v>
      </c>
      <c r="E36" t="s">
        <v>205</v>
      </c>
      <c r="F36" t="s">
        <v>1165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1181</v>
      </c>
      <c r="B37" t="s">
        <v>27</v>
      </c>
      <c r="C37">
        <v>24</v>
      </c>
      <c r="D37">
        <v>2</v>
      </c>
      <c r="E37" t="s">
        <v>153</v>
      </c>
      <c r="F37" t="s">
        <v>1165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1182</v>
      </c>
      <c r="B38" t="s">
        <v>27</v>
      </c>
      <c r="C38">
        <v>27</v>
      </c>
      <c r="D38">
        <v>4</v>
      </c>
      <c r="E38" t="s">
        <v>340</v>
      </c>
      <c r="F38" t="s">
        <v>1165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1183</v>
      </c>
      <c r="B39" t="s">
        <v>27</v>
      </c>
      <c r="C39">
        <v>24</v>
      </c>
      <c r="D39">
        <v>0</v>
      </c>
      <c r="E39" t="s">
        <v>1093</v>
      </c>
      <c r="F39" t="s">
        <v>1165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1184</v>
      </c>
      <c r="B40" t="s">
        <v>32</v>
      </c>
      <c r="C40">
        <v>22</v>
      </c>
      <c r="D40">
        <v>0</v>
      </c>
      <c r="E40" t="s">
        <v>342</v>
      </c>
      <c r="F40" t="s">
        <v>1165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1185</v>
      </c>
      <c r="B41" t="s">
        <v>32</v>
      </c>
      <c r="C41">
        <v>25</v>
      </c>
      <c r="D41">
        <v>2</v>
      </c>
      <c r="E41" t="s">
        <v>69</v>
      </c>
      <c r="F41" t="s">
        <v>1165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1186</v>
      </c>
      <c r="B42" t="s">
        <v>32</v>
      </c>
      <c r="C42">
        <v>24</v>
      </c>
      <c r="D42">
        <v>0</v>
      </c>
      <c r="E42" t="s">
        <v>742</v>
      </c>
      <c r="F42" t="s">
        <v>1165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1187</v>
      </c>
      <c r="B43" t="s">
        <v>32</v>
      </c>
      <c r="C43">
        <v>25</v>
      </c>
      <c r="D43">
        <v>3</v>
      </c>
      <c r="E43" t="s">
        <v>1188</v>
      </c>
      <c r="F43" t="s">
        <v>1165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1189</v>
      </c>
      <c r="B44" t="s">
        <v>44</v>
      </c>
      <c r="C44">
        <v>27</v>
      </c>
      <c r="D44">
        <v>6</v>
      </c>
      <c r="E44" t="s">
        <v>416</v>
      </c>
      <c r="F44" t="s">
        <v>1165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1190</v>
      </c>
      <c r="B45" t="s">
        <v>44</v>
      </c>
      <c r="C45">
        <v>21</v>
      </c>
      <c r="D45">
        <v>0</v>
      </c>
      <c r="E45" t="s">
        <v>222</v>
      </c>
      <c r="F45" t="s">
        <v>1165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1191</v>
      </c>
      <c r="B46" t="s">
        <v>44</v>
      </c>
      <c r="C46">
        <v>22</v>
      </c>
      <c r="D46">
        <v>0</v>
      </c>
      <c r="E46" t="s">
        <v>1192</v>
      </c>
      <c r="F46" t="s">
        <v>1165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1193</v>
      </c>
      <c r="B47" t="s">
        <v>44</v>
      </c>
      <c r="D47">
        <v>0</v>
      </c>
      <c r="E47" t="s">
        <v>283</v>
      </c>
      <c r="F47" t="s">
        <v>1165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1194</v>
      </c>
      <c r="B48" t="s">
        <v>44</v>
      </c>
      <c r="C48">
        <v>30</v>
      </c>
      <c r="D48">
        <v>8</v>
      </c>
      <c r="E48" t="s">
        <v>97</v>
      </c>
      <c r="F48" t="s">
        <v>1165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1195</v>
      </c>
      <c r="B49" t="s">
        <v>44</v>
      </c>
      <c r="C49">
        <v>25</v>
      </c>
      <c r="D49">
        <v>1</v>
      </c>
      <c r="E49" t="s">
        <v>281</v>
      </c>
      <c r="F49" t="s">
        <v>1165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1196</v>
      </c>
      <c r="B50" t="s">
        <v>44</v>
      </c>
      <c r="C50">
        <v>30</v>
      </c>
      <c r="D50">
        <v>8</v>
      </c>
      <c r="E50" t="s">
        <v>205</v>
      </c>
      <c r="F50" t="s">
        <v>1165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1197</v>
      </c>
      <c r="B51" t="s">
        <v>44</v>
      </c>
      <c r="C51">
        <v>37</v>
      </c>
      <c r="D51">
        <v>15</v>
      </c>
      <c r="E51" t="s">
        <v>473</v>
      </c>
      <c r="F51" t="s">
        <v>1165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1198</v>
      </c>
      <c r="B52" t="s">
        <v>44</v>
      </c>
      <c r="C52">
        <v>26</v>
      </c>
      <c r="D52">
        <v>6</v>
      </c>
      <c r="E52" t="s">
        <v>79</v>
      </c>
      <c r="F52" t="s">
        <v>1165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1199</v>
      </c>
      <c r="B53" t="s">
        <v>44</v>
      </c>
      <c r="C53">
        <v>22</v>
      </c>
      <c r="D53">
        <v>0</v>
      </c>
      <c r="E53" t="s">
        <v>394</v>
      </c>
      <c r="F53" t="s">
        <v>1165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1200</v>
      </c>
      <c r="B54" t="s">
        <v>44</v>
      </c>
      <c r="C54">
        <v>25</v>
      </c>
      <c r="D54">
        <v>1</v>
      </c>
      <c r="E54" t="s">
        <v>90</v>
      </c>
      <c r="F54" t="s">
        <v>1165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1201</v>
      </c>
      <c r="B55" t="s">
        <v>44</v>
      </c>
      <c r="C55">
        <v>25</v>
      </c>
      <c r="D55">
        <v>0</v>
      </c>
      <c r="E55" t="s">
        <v>1202</v>
      </c>
      <c r="F55" t="s">
        <v>1165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1203</v>
      </c>
      <c r="B56" t="s">
        <v>39</v>
      </c>
      <c r="C56">
        <v>28</v>
      </c>
      <c r="D56">
        <v>5</v>
      </c>
      <c r="E56" t="s">
        <v>1204</v>
      </c>
      <c r="F56" t="s">
        <v>1165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1205</v>
      </c>
      <c r="B57" t="s">
        <v>39</v>
      </c>
      <c r="C57">
        <v>27</v>
      </c>
      <c r="D57">
        <v>5</v>
      </c>
      <c r="E57" t="s">
        <v>340</v>
      </c>
      <c r="F57" t="s">
        <v>1165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1206</v>
      </c>
      <c r="B58" t="s">
        <v>39</v>
      </c>
      <c r="C58">
        <v>28</v>
      </c>
      <c r="D58">
        <v>7</v>
      </c>
      <c r="E58" t="s">
        <v>173</v>
      </c>
      <c r="F58" t="s">
        <v>1165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1207</v>
      </c>
      <c r="B59" t="s">
        <v>39</v>
      </c>
      <c r="C59">
        <v>25</v>
      </c>
      <c r="D59">
        <v>0</v>
      </c>
      <c r="E59" t="s">
        <v>575</v>
      </c>
      <c r="F59" t="s">
        <v>1165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1208</v>
      </c>
      <c r="B60" t="s">
        <v>39</v>
      </c>
      <c r="C60">
        <v>27</v>
      </c>
      <c r="D60">
        <v>1</v>
      </c>
      <c r="E60" t="s">
        <v>733</v>
      </c>
      <c r="F60" t="s">
        <v>1165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1209</v>
      </c>
      <c r="B2" t="s">
        <v>1210</v>
      </c>
      <c r="C2" t="s">
        <v>112</v>
      </c>
      <c r="D2">
        <v>5</v>
      </c>
      <c r="E2">
        <v>0</v>
      </c>
      <c r="F2">
        <v>0</v>
      </c>
      <c r="G2">
        <v>0</v>
      </c>
      <c r="H2">
        <v>0</v>
      </c>
      <c r="I2">
        <v>0</v>
      </c>
      <c r="J2">
        <v>4</v>
      </c>
      <c r="K2">
        <v>9</v>
      </c>
      <c r="L2">
        <v>0</v>
      </c>
      <c r="M2">
        <v>3</v>
      </c>
      <c r="N2">
        <v>3</v>
      </c>
      <c r="O2">
        <v>9</v>
      </c>
      <c r="P2">
        <v>0</v>
      </c>
      <c r="Q2">
        <v>0</v>
      </c>
      <c r="R2">
        <v>0</v>
      </c>
      <c r="S2">
        <v>4.8</v>
      </c>
      <c r="T2">
        <v>5.5555555555555601E-3</v>
      </c>
      <c r="U2">
        <v>2.25</v>
      </c>
      <c r="V2">
        <v>3</v>
      </c>
      <c r="Y2">
        <v>3.3</v>
      </c>
    </row>
    <row r="3" spans="1:25" x14ac:dyDescent="0.2">
      <c r="A3" t="s">
        <v>1211</v>
      </c>
      <c r="B3" t="s">
        <v>1210</v>
      </c>
      <c r="C3" t="s">
        <v>27</v>
      </c>
      <c r="D3">
        <v>14</v>
      </c>
      <c r="E3">
        <v>378</v>
      </c>
      <c r="F3">
        <v>252</v>
      </c>
      <c r="G3">
        <v>2871</v>
      </c>
      <c r="H3">
        <v>18</v>
      </c>
      <c r="I3">
        <v>9</v>
      </c>
      <c r="J3">
        <v>30</v>
      </c>
      <c r="K3">
        <v>54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174.24</v>
      </c>
      <c r="T3">
        <v>0</v>
      </c>
      <c r="U3">
        <v>1.8</v>
      </c>
      <c r="W3">
        <v>0.66666666666666696</v>
      </c>
      <c r="X3">
        <v>4.7619047619047603E-2</v>
      </c>
      <c r="Y3">
        <v>183.24</v>
      </c>
    </row>
    <row r="4" spans="1:25" x14ac:dyDescent="0.2">
      <c r="A4" t="s">
        <v>1212</v>
      </c>
      <c r="B4" t="s">
        <v>1210</v>
      </c>
      <c r="C4" t="s">
        <v>27</v>
      </c>
      <c r="D4">
        <v>3</v>
      </c>
      <c r="E4">
        <v>115</v>
      </c>
      <c r="F4">
        <v>73</v>
      </c>
      <c r="G4">
        <v>858</v>
      </c>
      <c r="H4">
        <v>4</v>
      </c>
      <c r="I4">
        <v>5</v>
      </c>
      <c r="J4">
        <v>5</v>
      </c>
      <c r="K4">
        <v>16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43.92</v>
      </c>
      <c r="T4">
        <v>0</v>
      </c>
      <c r="U4">
        <v>3.2</v>
      </c>
      <c r="W4">
        <v>0.63478260869565195</v>
      </c>
      <c r="X4">
        <v>3.4782608695652202E-2</v>
      </c>
      <c r="Y4">
        <v>48.92</v>
      </c>
    </row>
    <row r="5" spans="1:25" x14ac:dyDescent="0.2">
      <c r="A5" t="s">
        <v>1213</v>
      </c>
      <c r="B5" t="s">
        <v>1210</v>
      </c>
      <c r="C5" t="s">
        <v>32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223</v>
      </c>
      <c r="K5">
        <v>897</v>
      </c>
      <c r="L5">
        <v>2</v>
      </c>
      <c r="M5">
        <v>77</v>
      </c>
      <c r="N5">
        <v>57</v>
      </c>
      <c r="O5">
        <v>490</v>
      </c>
      <c r="P5">
        <v>2</v>
      </c>
      <c r="Q5">
        <v>2</v>
      </c>
      <c r="R5">
        <v>0</v>
      </c>
      <c r="S5">
        <v>211.7</v>
      </c>
      <c r="T5">
        <v>0.14259259259259299</v>
      </c>
      <c r="U5">
        <v>4.0224215246636801</v>
      </c>
      <c r="V5">
        <v>8.5964912280701693</v>
      </c>
      <c r="Y5">
        <v>187.2</v>
      </c>
    </row>
    <row r="6" spans="1:25" x14ac:dyDescent="0.2">
      <c r="A6" t="s">
        <v>252</v>
      </c>
      <c r="B6" t="s">
        <v>1210</v>
      </c>
      <c r="C6" t="s">
        <v>32</v>
      </c>
      <c r="D6">
        <v>4</v>
      </c>
      <c r="E6">
        <v>0</v>
      </c>
      <c r="F6">
        <v>0</v>
      </c>
      <c r="G6">
        <v>0</v>
      </c>
      <c r="H6">
        <v>0</v>
      </c>
      <c r="I6">
        <v>0</v>
      </c>
      <c r="J6">
        <v>12</v>
      </c>
      <c r="K6">
        <v>24</v>
      </c>
      <c r="L6">
        <v>0</v>
      </c>
      <c r="M6">
        <v>4</v>
      </c>
      <c r="N6">
        <v>4</v>
      </c>
      <c r="O6">
        <v>47</v>
      </c>
      <c r="P6">
        <v>0</v>
      </c>
      <c r="Q6">
        <v>1</v>
      </c>
      <c r="R6">
        <v>0</v>
      </c>
      <c r="S6">
        <v>9.1</v>
      </c>
      <c r="T6">
        <v>7.4074074074074103E-3</v>
      </c>
      <c r="U6">
        <v>2</v>
      </c>
      <c r="V6">
        <v>11.75</v>
      </c>
      <c r="Y6">
        <v>7.1</v>
      </c>
    </row>
    <row r="7" spans="1:25" x14ac:dyDescent="0.2">
      <c r="A7" t="s">
        <v>1214</v>
      </c>
      <c r="B7" t="s">
        <v>1210</v>
      </c>
      <c r="C7" t="s">
        <v>32</v>
      </c>
      <c r="D7">
        <v>3</v>
      </c>
      <c r="E7">
        <v>0</v>
      </c>
      <c r="F7">
        <v>0</v>
      </c>
      <c r="G7">
        <v>0</v>
      </c>
      <c r="H7">
        <v>0</v>
      </c>
      <c r="I7">
        <v>0</v>
      </c>
      <c r="J7">
        <v>11</v>
      </c>
      <c r="K7">
        <v>38</v>
      </c>
      <c r="L7">
        <v>0</v>
      </c>
      <c r="M7">
        <v>1</v>
      </c>
      <c r="N7">
        <v>1</v>
      </c>
      <c r="O7">
        <v>7</v>
      </c>
      <c r="P7">
        <v>0</v>
      </c>
      <c r="Q7">
        <v>0</v>
      </c>
      <c r="R7">
        <v>0</v>
      </c>
      <c r="S7">
        <v>5.5</v>
      </c>
      <c r="T7">
        <v>1.85185185185185E-3</v>
      </c>
      <c r="U7">
        <v>3.4545454545454501</v>
      </c>
      <c r="V7">
        <v>7</v>
      </c>
      <c r="Y7">
        <v>5</v>
      </c>
    </row>
    <row r="8" spans="1:25" x14ac:dyDescent="0.2">
      <c r="A8" t="s">
        <v>34</v>
      </c>
      <c r="B8" t="s">
        <v>1210</v>
      </c>
      <c r="C8" t="s">
        <v>32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4</v>
      </c>
      <c r="K8">
        <v>13</v>
      </c>
      <c r="L8">
        <v>0</v>
      </c>
      <c r="M8">
        <v>1</v>
      </c>
      <c r="N8">
        <v>1</v>
      </c>
      <c r="O8">
        <v>9</v>
      </c>
      <c r="P8">
        <v>0</v>
      </c>
      <c r="Q8">
        <v>0</v>
      </c>
      <c r="R8">
        <v>0</v>
      </c>
      <c r="S8">
        <v>3.2</v>
      </c>
      <c r="T8">
        <v>1.85185185185185E-3</v>
      </c>
      <c r="U8">
        <v>3.25</v>
      </c>
      <c r="V8">
        <v>9</v>
      </c>
      <c r="Y8">
        <v>2.7</v>
      </c>
    </row>
    <row r="9" spans="1:25" x14ac:dyDescent="0.2">
      <c r="A9" t="s">
        <v>1215</v>
      </c>
      <c r="B9" t="s">
        <v>1210</v>
      </c>
      <c r="C9" t="s">
        <v>32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</v>
      </c>
      <c r="T9">
        <v>0</v>
      </c>
      <c r="U9">
        <v>1</v>
      </c>
      <c r="Y9">
        <v>0.1</v>
      </c>
    </row>
    <row r="10" spans="1:25" x14ac:dyDescent="0.2">
      <c r="A10" t="s">
        <v>590</v>
      </c>
      <c r="B10" t="s">
        <v>1210</v>
      </c>
      <c r="C10" t="s">
        <v>32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11</v>
      </c>
      <c r="K10">
        <v>57</v>
      </c>
      <c r="L10">
        <v>1</v>
      </c>
      <c r="M10">
        <v>1</v>
      </c>
      <c r="N10">
        <v>1</v>
      </c>
      <c r="O10">
        <v>8</v>
      </c>
      <c r="P10">
        <v>0</v>
      </c>
      <c r="Q10">
        <v>0</v>
      </c>
      <c r="R10">
        <v>0</v>
      </c>
      <c r="S10">
        <v>13.5</v>
      </c>
      <c r="T10">
        <v>1.85185185185185E-3</v>
      </c>
      <c r="U10">
        <v>5.1818181818181799</v>
      </c>
      <c r="V10">
        <v>8</v>
      </c>
      <c r="Y10">
        <v>13</v>
      </c>
    </row>
    <row r="11" spans="1:25" x14ac:dyDescent="0.2">
      <c r="A11" t="s">
        <v>1216</v>
      </c>
      <c r="B11" t="s">
        <v>1210</v>
      </c>
      <c r="C11" t="s">
        <v>32</v>
      </c>
      <c r="D11">
        <v>10</v>
      </c>
      <c r="E11">
        <v>0</v>
      </c>
      <c r="F11">
        <v>0</v>
      </c>
      <c r="G11">
        <v>0</v>
      </c>
      <c r="H11">
        <v>0</v>
      </c>
      <c r="I11">
        <v>0</v>
      </c>
      <c r="J11">
        <v>62</v>
      </c>
      <c r="K11">
        <v>233</v>
      </c>
      <c r="L11">
        <v>1</v>
      </c>
      <c r="M11">
        <v>18</v>
      </c>
      <c r="N11">
        <v>16</v>
      </c>
      <c r="O11">
        <v>68</v>
      </c>
      <c r="P11">
        <v>0</v>
      </c>
      <c r="Q11">
        <v>1</v>
      </c>
      <c r="R11">
        <v>1</v>
      </c>
      <c r="S11">
        <v>50.1</v>
      </c>
      <c r="T11">
        <v>3.3333333333333298E-2</v>
      </c>
      <c r="U11">
        <v>3.7580645161290298</v>
      </c>
      <c r="V11">
        <v>4.25</v>
      </c>
      <c r="Y11">
        <v>44.1</v>
      </c>
    </row>
    <row r="12" spans="1:25" x14ac:dyDescent="0.2">
      <c r="A12" t="s">
        <v>863</v>
      </c>
      <c r="B12" t="s">
        <v>1210</v>
      </c>
      <c r="C12" t="s">
        <v>32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2</v>
      </c>
      <c r="K12">
        <v>8</v>
      </c>
      <c r="L12">
        <v>0</v>
      </c>
      <c r="M12">
        <v>2</v>
      </c>
      <c r="N12">
        <v>2</v>
      </c>
      <c r="O12">
        <v>12</v>
      </c>
      <c r="P12">
        <v>0</v>
      </c>
      <c r="Q12">
        <v>0</v>
      </c>
      <c r="R12">
        <v>0</v>
      </c>
      <c r="S12">
        <v>4</v>
      </c>
      <c r="T12">
        <v>3.7037037037036999E-3</v>
      </c>
      <c r="U12">
        <v>4</v>
      </c>
      <c r="V12">
        <v>6</v>
      </c>
      <c r="Y12">
        <v>3</v>
      </c>
    </row>
    <row r="13" spans="1:25" x14ac:dyDescent="0.2">
      <c r="A13" t="s">
        <v>1217</v>
      </c>
      <c r="B13" t="s">
        <v>1210</v>
      </c>
      <c r="C13" t="s">
        <v>39</v>
      </c>
      <c r="D13">
        <v>12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18</v>
      </c>
      <c r="O13">
        <v>207</v>
      </c>
      <c r="P13">
        <v>1</v>
      </c>
      <c r="Q13">
        <v>0</v>
      </c>
      <c r="R13">
        <v>0</v>
      </c>
      <c r="S13">
        <v>44.7</v>
      </c>
      <c r="T13">
        <v>4.0740740740740702E-2</v>
      </c>
      <c r="V13">
        <v>11.5</v>
      </c>
      <c r="Y13">
        <v>35.700000000000003</v>
      </c>
    </row>
    <row r="14" spans="1:25" x14ac:dyDescent="0.2">
      <c r="A14" t="s">
        <v>1020</v>
      </c>
      <c r="B14" t="s">
        <v>1210</v>
      </c>
      <c r="C14" t="s">
        <v>39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65</v>
      </c>
      <c r="N14">
        <v>42</v>
      </c>
      <c r="O14">
        <v>508</v>
      </c>
      <c r="P14">
        <v>7</v>
      </c>
      <c r="Q14">
        <v>0</v>
      </c>
      <c r="R14">
        <v>0</v>
      </c>
      <c r="S14">
        <v>134.80000000000001</v>
      </c>
      <c r="T14">
        <v>0.12037037037037</v>
      </c>
      <c r="V14">
        <v>12.0952380952381</v>
      </c>
      <c r="Y14">
        <v>113.8</v>
      </c>
    </row>
    <row r="15" spans="1:25" x14ac:dyDescent="0.2">
      <c r="A15" t="s">
        <v>1218</v>
      </c>
      <c r="B15" t="s">
        <v>1210</v>
      </c>
      <c r="C15" t="s">
        <v>39</v>
      </c>
      <c r="D15">
        <v>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2</v>
      </c>
      <c r="O15">
        <v>13</v>
      </c>
      <c r="P15">
        <v>0</v>
      </c>
      <c r="Q15">
        <v>0</v>
      </c>
      <c r="R15">
        <v>0</v>
      </c>
      <c r="S15">
        <v>3.3</v>
      </c>
      <c r="T15">
        <v>3.7037037037036999E-3</v>
      </c>
      <c r="V15">
        <v>6.5</v>
      </c>
      <c r="Y15">
        <v>2.2999999999999998</v>
      </c>
    </row>
    <row r="16" spans="1:25" x14ac:dyDescent="0.2">
      <c r="A16" t="s">
        <v>1086</v>
      </c>
      <c r="B16" t="s">
        <v>1210</v>
      </c>
      <c r="C16" t="s">
        <v>39</v>
      </c>
      <c r="D16">
        <v>16</v>
      </c>
      <c r="E16">
        <v>19</v>
      </c>
      <c r="F16">
        <v>13</v>
      </c>
      <c r="G16">
        <v>240</v>
      </c>
      <c r="H16">
        <v>2</v>
      </c>
      <c r="I16">
        <v>0</v>
      </c>
      <c r="J16">
        <v>96</v>
      </c>
      <c r="K16">
        <v>575</v>
      </c>
      <c r="L16">
        <v>7</v>
      </c>
      <c r="M16">
        <v>13</v>
      </c>
      <c r="N16">
        <v>9</v>
      </c>
      <c r="O16">
        <v>77</v>
      </c>
      <c r="P16">
        <v>2</v>
      </c>
      <c r="Q16">
        <v>0</v>
      </c>
      <c r="R16">
        <v>0</v>
      </c>
      <c r="S16">
        <v>145.80000000000001</v>
      </c>
      <c r="T16">
        <v>2.4074074074074098E-2</v>
      </c>
      <c r="U16">
        <v>5.9895833333333304</v>
      </c>
      <c r="V16">
        <v>8.5555555555555607</v>
      </c>
      <c r="W16">
        <v>0.68421052631578905</v>
      </c>
      <c r="X16">
        <v>0.105263157894737</v>
      </c>
      <c r="Y16">
        <v>123.7</v>
      </c>
    </row>
    <row r="17" spans="1:25" x14ac:dyDescent="0.2">
      <c r="A17" t="s">
        <v>1219</v>
      </c>
      <c r="B17" t="s">
        <v>1210</v>
      </c>
      <c r="C17" t="s">
        <v>44</v>
      </c>
      <c r="D17">
        <v>15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119</v>
      </c>
      <c r="N17">
        <v>72</v>
      </c>
      <c r="O17">
        <v>1042</v>
      </c>
      <c r="P17">
        <v>4</v>
      </c>
      <c r="Q17">
        <v>0</v>
      </c>
      <c r="R17">
        <v>0</v>
      </c>
      <c r="S17">
        <v>198.2</v>
      </c>
      <c r="T17">
        <v>0.22037037037036999</v>
      </c>
      <c r="V17">
        <v>14.4722222222222</v>
      </c>
      <c r="Y17">
        <v>164.2</v>
      </c>
    </row>
    <row r="18" spans="1:25" x14ac:dyDescent="0.2">
      <c r="A18" t="s">
        <v>1220</v>
      </c>
      <c r="B18" t="s">
        <v>1210</v>
      </c>
      <c r="C18" t="s">
        <v>44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</v>
      </c>
      <c r="N18">
        <v>2</v>
      </c>
      <c r="O18">
        <v>13</v>
      </c>
      <c r="P18">
        <v>0</v>
      </c>
      <c r="Q18">
        <v>0</v>
      </c>
      <c r="R18">
        <v>0</v>
      </c>
      <c r="S18">
        <v>3.3</v>
      </c>
      <c r="T18">
        <v>3.7037037037036999E-3</v>
      </c>
      <c r="V18">
        <v>6.5</v>
      </c>
      <c r="Y18">
        <v>2.2999999999999998</v>
      </c>
    </row>
    <row r="19" spans="1:25" x14ac:dyDescent="0.2">
      <c r="A19" t="s">
        <v>1221</v>
      </c>
      <c r="B19" t="s">
        <v>1210</v>
      </c>
      <c r="C19" t="s">
        <v>44</v>
      </c>
      <c r="D19">
        <v>9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39</v>
      </c>
      <c r="N19">
        <v>25</v>
      </c>
      <c r="O19">
        <v>272</v>
      </c>
      <c r="P19">
        <v>1</v>
      </c>
      <c r="Q19">
        <v>0</v>
      </c>
      <c r="R19">
        <v>0</v>
      </c>
      <c r="S19">
        <v>60.2</v>
      </c>
      <c r="T19">
        <v>7.2222222222222202E-2</v>
      </c>
      <c r="V19">
        <v>10.88</v>
      </c>
      <c r="Y19">
        <v>45.7</v>
      </c>
    </row>
    <row r="20" spans="1:25" x14ac:dyDescent="0.2">
      <c r="A20" t="s">
        <v>1222</v>
      </c>
      <c r="B20" t="s">
        <v>1210</v>
      </c>
      <c r="C20" t="s">
        <v>44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4</v>
      </c>
      <c r="N20">
        <v>2</v>
      </c>
      <c r="O20">
        <v>18</v>
      </c>
      <c r="P20">
        <v>0</v>
      </c>
      <c r="Q20">
        <v>0</v>
      </c>
      <c r="R20">
        <v>0</v>
      </c>
      <c r="S20">
        <v>3.8</v>
      </c>
      <c r="T20">
        <v>7.4074074074074103E-3</v>
      </c>
      <c r="V20">
        <v>9</v>
      </c>
      <c r="Y20">
        <v>2.8</v>
      </c>
    </row>
    <row r="21" spans="1:25" x14ac:dyDescent="0.2">
      <c r="A21" t="s">
        <v>1223</v>
      </c>
      <c r="B21" t="s">
        <v>1210</v>
      </c>
      <c r="C21" t="s">
        <v>44</v>
      </c>
      <c r="D21">
        <v>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</v>
      </c>
      <c r="N21">
        <v>2</v>
      </c>
      <c r="O21">
        <v>74</v>
      </c>
      <c r="P21">
        <v>0</v>
      </c>
      <c r="Q21">
        <v>0</v>
      </c>
      <c r="R21">
        <v>0</v>
      </c>
      <c r="S21">
        <v>9.4</v>
      </c>
      <c r="T21">
        <v>9.2592592592592605E-3</v>
      </c>
      <c r="V21">
        <v>37</v>
      </c>
      <c r="Y21">
        <v>8.4</v>
      </c>
    </row>
    <row r="22" spans="1:25" x14ac:dyDescent="0.2">
      <c r="A22" t="s">
        <v>1224</v>
      </c>
      <c r="B22" t="s">
        <v>1210</v>
      </c>
      <c r="C22" t="s">
        <v>44</v>
      </c>
      <c r="D22">
        <v>10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32</v>
      </c>
      <c r="N22">
        <v>16</v>
      </c>
      <c r="O22">
        <v>158</v>
      </c>
      <c r="P22">
        <v>1</v>
      </c>
      <c r="Q22">
        <v>0</v>
      </c>
      <c r="R22">
        <v>0</v>
      </c>
      <c r="S22">
        <v>37.799999999999997</v>
      </c>
      <c r="T22">
        <v>5.9259259259259303E-2</v>
      </c>
      <c r="V22">
        <v>9.875</v>
      </c>
      <c r="Y22">
        <v>29.8</v>
      </c>
    </row>
    <row r="23" spans="1:25" x14ac:dyDescent="0.2">
      <c r="A23" t="s">
        <v>436</v>
      </c>
      <c r="B23" t="s">
        <v>1210</v>
      </c>
      <c r="C23" t="s">
        <v>44</v>
      </c>
      <c r="D23">
        <v>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22</v>
      </c>
      <c r="N23">
        <v>16</v>
      </c>
      <c r="O23">
        <v>171</v>
      </c>
      <c r="P23">
        <v>3</v>
      </c>
      <c r="Q23">
        <v>0</v>
      </c>
      <c r="R23">
        <v>0</v>
      </c>
      <c r="S23">
        <v>51.1</v>
      </c>
      <c r="T23">
        <v>4.0740740740740702E-2</v>
      </c>
      <c r="V23">
        <v>10.6875</v>
      </c>
      <c r="Y23">
        <v>43.1</v>
      </c>
    </row>
    <row r="24" spans="1:25" x14ac:dyDescent="0.2">
      <c r="A24" t="s">
        <v>1225</v>
      </c>
      <c r="B24" t="s">
        <v>1210</v>
      </c>
      <c r="C24" t="s">
        <v>44</v>
      </c>
      <c r="D24">
        <v>11</v>
      </c>
      <c r="E24">
        <v>0</v>
      </c>
      <c r="F24">
        <v>0</v>
      </c>
      <c r="G24">
        <v>0</v>
      </c>
      <c r="H24">
        <v>0</v>
      </c>
      <c r="I24">
        <v>0</v>
      </c>
      <c r="J24">
        <v>4</v>
      </c>
      <c r="K24">
        <v>57</v>
      </c>
      <c r="L24">
        <v>1</v>
      </c>
      <c r="M24">
        <v>34</v>
      </c>
      <c r="N24">
        <v>28</v>
      </c>
      <c r="O24">
        <v>488</v>
      </c>
      <c r="P24">
        <v>2</v>
      </c>
      <c r="Q24">
        <v>0</v>
      </c>
      <c r="R24">
        <v>0</v>
      </c>
      <c r="S24">
        <v>100.5</v>
      </c>
      <c r="T24">
        <v>6.2962962962962998E-2</v>
      </c>
      <c r="U24">
        <v>14.25</v>
      </c>
      <c r="V24">
        <v>17.428571428571399</v>
      </c>
      <c r="Y24">
        <v>86.5</v>
      </c>
    </row>
    <row r="25" spans="1:25" x14ac:dyDescent="0.2">
      <c r="A25" t="s">
        <v>1226</v>
      </c>
      <c r="B25" t="s">
        <v>1210</v>
      </c>
      <c r="C25" t="s">
        <v>44</v>
      </c>
      <c r="D25">
        <v>9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27</v>
      </c>
      <c r="N25">
        <v>19</v>
      </c>
      <c r="O25">
        <v>278</v>
      </c>
      <c r="P25">
        <v>1</v>
      </c>
      <c r="Q25">
        <v>0</v>
      </c>
      <c r="R25">
        <v>0</v>
      </c>
      <c r="S25">
        <v>52.8</v>
      </c>
      <c r="T25">
        <v>0.05</v>
      </c>
      <c r="V25">
        <v>14.6315789473684</v>
      </c>
      <c r="Y25">
        <v>43.3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1210</v>
      </c>
      <c r="B31">
        <v>5951</v>
      </c>
      <c r="C31">
        <v>3969</v>
      </c>
      <c r="D31">
        <v>465</v>
      </c>
      <c r="E31">
        <v>1982</v>
      </c>
      <c r="F31">
        <v>12</v>
      </c>
      <c r="G31">
        <v>1365.86</v>
      </c>
      <c r="H31">
        <v>512</v>
      </c>
      <c r="I31">
        <v>0.66015625</v>
      </c>
      <c r="J31">
        <v>24</v>
      </c>
      <c r="K31">
        <v>14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1227</v>
      </c>
      <c r="B36" t="s">
        <v>27</v>
      </c>
      <c r="C36">
        <v>32</v>
      </c>
      <c r="D36">
        <v>9</v>
      </c>
      <c r="E36" t="s">
        <v>279</v>
      </c>
      <c r="F36" t="s">
        <v>1210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1228</v>
      </c>
      <c r="B37" t="s">
        <v>27</v>
      </c>
      <c r="C37">
        <v>24</v>
      </c>
      <c r="D37">
        <v>0</v>
      </c>
      <c r="E37" t="s">
        <v>279</v>
      </c>
      <c r="F37" t="s">
        <v>1210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1229</v>
      </c>
      <c r="B38" t="s">
        <v>27</v>
      </c>
      <c r="C38">
        <v>29</v>
      </c>
      <c r="D38">
        <v>8</v>
      </c>
      <c r="E38" t="s">
        <v>744</v>
      </c>
      <c r="F38" t="s">
        <v>1210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1230</v>
      </c>
      <c r="B39" t="s">
        <v>32</v>
      </c>
      <c r="C39">
        <v>26</v>
      </c>
      <c r="D39">
        <v>1</v>
      </c>
      <c r="E39" t="s">
        <v>163</v>
      </c>
      <c r="F39" t="s">
        <v>1210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1231</v>
      </c>
      <c r="B40" t="s">
        <v>32</v>
      </c>
      <c r="C40">
        <v>24</v>
      </c>
      <c r="D40">
        <v>3</v>
      </c>
      <c r="E40" t="s">
        <v>155</v>
      </c>
      <c r="F40" t="s">
        <v>1210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1232</v>
      </c>
      <c r="B41" t="s">
        <v>32</v>
      </c>
      <c r="C41">
        <v>27</v>
      </c>
      <c r="D41">
        <v>6</v>
      </c>
      <c r="E41" t="s">
        <v>141</v>
      </c>
      <c r="F41" t="s">
        <v>1210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1233</v>
      </c>
      <c r="B42" t="s">
        <v>32</v>
      </c>
      <c r="C42">
        <v>24</v>
      </c>
      <c r="D42">
        <v>0</v>
      </c>
      <c r="E42" t="s">
        <v>232</v>
      </c>
      <c r="F42" t="s">
        <v>1210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1234</v>
      </c>
      <c r="B43" t="s">
        <v>32</v>
      </c>
      <c r="C43">
        <v>21</v>
      </c>
      <c r="D43">
        <v>0</v>
      </c>
      <c r="E43" t="s">
        <v>77</v>
      </c>
      <c r="F43" t="s">
        <v>1210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1235</v>
      </c>
      <c r="B44" t="s">
        <v>32</v>
      </c>
      <c r="C44">
        <v>28</v>
      </c>
      <c r="D44">
        <v>6</v>
      </c>
      <c r="E44" t="s">
        <v>81</v>
      </c>
      <c r="F44" t="s">
        <v>1210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1236</v>
      </c>
      <c r="B45" t="s">
        <v>44</v>
      </c>
      <c r="C45">
        <v>24</v>
      </c>
      <c r="D45">
        <v>1</v>
      </c>
      <c r="E45" t="s">
        <v>300</v>
      </c>
      <c r="F45" t="s">
        <v>1210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1237</v>
      </c>
      <c r="B46" t="s">
        <v>44</v>
      </c>
      <c r="C46">
        <v>25</v>
      </c>
      <c r="D46">
        <v>3</v>
      </c>
      <c r="E46" t="s">
        <v>148</v>
      </c>
      <c r="F46" t="s">
        <v>1210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1238</v>
      </c>
      <c r="B47" t="s">
        <v>44</v>
      </c>
      <c r="C47">
        <v>26</v>
      </c>
      <c r="D47">
        <v>4</v>
      </c>
      <c r="E47" t="s">
        <v>515</v>
      </c>
      <c r="F47" t="s">
        <v>1210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1239</v>
      </c>
      <c r="B48" t="s">
        <v>44</v>
      </c>
      <c r="C48">
        <v>23</v>
      </c>
      <c r="D48">
        <v>0</v>
      </c>
      <c r="E48" t="s">
        <v>1240</v>
      </c>
      <c r="F48" t="s">
        <v>1210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1241</v>
      </c>
      <c r="B49" t="s">
        <v>44</v>
      </c>
      <c r="C49">
        <v>24</v>
      </c>
      <c r="D49">
        <v>3</v>
      </c>
      <c r="E49" t="s">
        <v>342</v>
      </c>
      <c r="F49" t="s">
        <v>1210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1242</v>
      </c>
      <c r="B50" t="s">
        <v>44</v>
      </c>
      <c r="C50">
        <v>29</v>
      </c>
      <c r="D50">
        <v>4</v>
      </c>
      <c r="E50" t="s">
        <v>392</v>
      </c>
      <c r="F50" t="s">
        <v>1210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1243</v>
      </c>
      <c r="B51" t="s">
        <v>44</v>
      </c>
      <c r="C51">
        <v>26</v>
      </c>
      <c r="D51">
        <v>1</v>
      </c>
      <c r="E51" t="s">
        <v>1089</v>
      </c>
      <c r="F51" t="s">
        <v>1210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1244</v>
      </c>
      <c r="B52" t="s">
        <v>44</v>
      </c>
      <c r="C52">
        <v>23</v>
      </c>
      <c r="D52">
        <v>0</v>
      </c>
      <c r="E52" t="s">
        <v>209</v>
      </c>
      <c r="F52" t="s">
        <v>1210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1245</v>
      </c>
      <c r="B53" t="s">
        <v>44</v>
      </c>
      <c r="C53">
        <v>23</v>
      </c>
      <c r="D53">
        <v>0</v>
      </c>
      <c r="E53" t="s">
        <v>90</v>
      </c>
      <c r="F53" t="s">
        <v>1210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1246</v>
      </c>
      <c r="B54" t="s">
        <v>44</v>
      </c>
      <c r="C54">
        <v>24</v>
      </c>
      <c r="D54">
        <v>0</v>
      </c>
      <c r="E54" t="s">
        <v>1247</v>
      </c>
      <c r="F54" t="s">
        <v>1210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1248</v>
      </c>
      <c r="B55" t="s">
        <v>44</v>
      </c>
      <c r="C55">
        <v>27</v>
      </c>
      <c r="D55">
        <v>5</v>
      </c>
      <c r="E55" t="s">
        <v>281</v>
      </c>
      <c r="F55" t="s">
        <v>1210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1249</v>
      </c>
      <c r="B56" t="s">
        <v>44</v>
      </c>
      <c r="C56">
        <v>30</v>
      </c>
      <c r="D56">
        <v>7</v>
      </c>
      <c r="E56" t="s">
        <v>209</v>
      </c>
      <c r="F56" t="s">
        <v>1210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1250</v>
      </c>
      <c r="B57" t="s">
        <v>44</v>
      </c>
      <c r="C57">
        <v>27</v>
      </c>
      <c r="D57">
        <v>5</v>
      </c>
      <c r="E57" t="s">
        <v>213</v>
      </c>
      <c r="F57" t="s">
        <v>1210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1251</v>
      </c>
      <c r="B58" t="s">
        <v>39</v>
      </c>
      <c r="C58">
        <v>25</v>
      </c>
      <c r="D58">
        <v>1</v>
      </c>
      <c r="E58" t="s">
        <v>153</v>
      </c>
      <c r="F58" t="s">
        <v>1210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1252</v>
      </c>
      <c r="B59" t="s">
        <v>39</v>
      </c>
      <c r="C59">
        <v>32</v>
      </c>
      <c r="D59">
        <v>6</v>
      </c>
      <c r="E59" t="s">
        <v>81</v>
      </c>
      <c r="F59" t="s">
        <v>1210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1253</v>
      </c>
      <c r="B60" t="s">
        <v>39</v>
      </c>
      <c r="C60">
        <v>29</v>
      </c>
      <c r="D60">
        <v>8</v>
      </c>
      <c r="E60" t="s">
        <v>340</v>
      </c>
      <c r="F60" t="s">
        <v>1210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1254</v>
      </c>
      <c r="B61" t="s">
        <v>39</v>
      </c>
      <c r="C61">
        <v>26</v>
      </c>
      <c r="D61">
        <v>3</v>
      </c>
      <c r="E61" t="s">
        <v>201</v>
      </c>
      <c r="F61" t="s">
        <v>1210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1255</v>
      </c>
      <c r="B62" t="s">
        <v>39</v>
      </c>
      <c r="C62">
        <v>25</v>
      </c>
      <c r="D62">
        <v>0</v>
      </c>
      <c r="E62" t="s">
        <v>75</v>
      </c>
      <c r="F62" t="s">
        <v>1210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1256</v>
      </c>
      <c r="B63" t="s">
        <v>39</v>
      </c>
      <c r="C63">
        <v>26</v>
      </c>
      <c r="D63">
        <v>4</v>
      </c>
      <c r="E63" t="s">
        <v>222</v>
      </c>
      <c r="F63" t="s">
        <v>1210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1257</v>
      </c>
      <c r="B2" t="s">
        <v>1258</v>
      </c>
      <c r="C2" t="s">
        <v>27</v>
      </c>
      <c r="D2">
        <v>16</v>
      </c>
      <c r="E2">
        <v>472</v>
      </c>
      <c r="F2">
        <v>317</v>
      </c>
      <c r="G2">
        <v>3205</v>
      </c>
      <c r="H2">
        <v>15</v>
      </c>
      <c r="I2">
        <v>5</v>
      </c>
      <c r="J2">
        <v>120</v>
      </c>
      <c r="K2">
        <v>708</v>
      </c>
      <c r="L2">
        <v>7</v>
      </c>
      <c r="M2">
        <v>0</v>
      </c>
      <c r="N2">
        <v>0</v>
      </c>
      <c r="O2">
        <v>0</v>
      </c>
      <c r="P2">
        <v>0</v>
      </c>
      <c r="Q2">
        <v>3</v>
      </c>
      <c r="R2">
        <v>2</v>
      </c>
      <c r="S2">
        <v>289</v>
      </c>
      <c r="T2">
        <v>0</v>
      </c>
      <c r="U2">
        <v>5.9</v>
      </c>
      <c r="W2">
        <v>0.67161016949152497</v>
      </c>
      <c r="X2">
        <v>3.17796610169492E-2</v>
      </c>
      <c r="Y2">
        <v>294</v>
      </c>
    </row>
    <row r="3" spans="1:25" x14ac:dyDescent="0.2">
      <c r="A3" t="s">
        <v>1259</v>
      </c>
      <c r="B3" t="s">
        <v>1258</v>
      </c>
      <c r="C3" t="s">
        <v>27</v>
      </c>
      <c r="D3">
        <v>1</v>
      </c>
      <c r="E3">
        <v>40</v>
      </c>
      <c r="F3">
        <v>23</v>
      </c>
      <c r="G3">
        <v>168</v>
      </c>
      <c r="H3">
        <v>1</v>
      </c>
      <c r="I3">
        <v>0</v>
      </c>
      <c r="J3">
        <v>6</v>
      </c>
      <c r="K3">
        <v>41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20.82</v>
      </c>
      <c r="T3">
        <v>0</v>
      </c>
      <c r="U3">
        <v>6.8333333333333304</v>
      </c>
      <c r="W3">
        <v>0.57499999999999996</v>
      </c>
      <c r="X3">
        <v>2.5000000000000001E-2</v>
      </c>
      <c r="Y3">
        <v>20.82</v>
      </c>
    </row>
    <row r="4" spans="1:25" x14ac:dyDescent="0.2">
      <c r="A4" t="s">
        <v>441</v>
      </c>
      <c r="B4" t="s">
        <v>1258</v>
      </c>
      <c r="C4" t="s">
        <v>27</v>
      </c>
      <c r="D4">
        <v>2</v>
      </c>
      <c r="E4">
        <v>8</v>
      </c>
      <c r="F4">
        <v>6</v>
      </c>
      <c r="G4">
        <v>58</v>
      </c>
      <c r="H4">
        <v>1</v>
      </c>
      <c r="I4">
        <v>1</v>
      </c>
      <c r="J4">
        <v>5</v>
      </c>
      <c r="K4">
        <v>70</v>
      </c>
      <c r="L4">
        <v>0</v>
      </c>
      <c r="M4">
        <v>0</v>
      </c>
      <c r="N4">
        <v>0</v>
      </c>
      <c r="O4">
        <v>0</v>
      </c>
      <c r="P4">
        <v>0</v>
      </c>
      <c r="Q4">
        <v>1</v>
      </c>
      <c r="R4">
        <v>1</v>
      </c>
      <c r="S4">
        <v>11.32</v>
      </c>
      <c r="T4">
        <v>0</v>
      </c>
      <c r="U4">
        <v>14</v>
      </c>
      <c r="W4">
        <v>0.75</v>
      </c>
      <c r="X4">
        <v>0.125</v>
      </c>
      <c r="Y4">
        <v>12.32</v>
      </c>
    </row>
    <row r="5" spans="1:25" x14ac:dyDescent="0.2">
      <c r="A5" t="s">
        <v>1260</v>
      </c>
      <c r="B5" t="s">
        <v>1258</v>
      </c>
      <c r="C5" t="s">
        <v>32</v>
      </c>
      <c r="D5">
        <v>8</v>
      </c>
      <c r="E5">
        <v>0</v>
      </c>
      <c r="F5">
        <v>0</v>
      </c>
      <c r="G5">
        <v>0</v>
      </c>
      <c r="H5">
        <v>0</v>
      </c>
      <c r="I5">
        <v>0</v>
      </c>
      <c r="J5">
        <v>31</v>
      </c>
      <c r="K5">
        <v>141</v>
      </c>
      <c r="L5">
        <v>1</v>
      </c>
      <c r="M5">
        <v>8</v>
      </c>
      <c r="N5">
        <v>5</v>
      </c>
      <c r="O5">
        <v>39</v>
      </c>
      <c r="P5">
        <v>0</v>
      </c>
      <c r="Q5">
        <v>0</v>
      </c>
      <c r="R5">
        <v>0</v>
      </c>
      <c r="S5">
        <v>29</v>
      </c>
      <c r="T5">
        <v>1.5625E-2</v>
      </c>
      <c r="U5">
        <v>4.5483870967741904</v>
      </c>
      <c r="V5">
        <v>7.8</v>
      </c>
      <c r="Y5">
        <v>26.5</v>
      </c>
    </row>
    <row r="6" spans="1:25" x14ac:dyDescent="0.2">
      <c r="A6" t="s">
        <v>1261</v>
      </c>
      <c r="B6" t="s">
        <v>1258</v>
      </c>
      <c r="C6" t="s">
        <v>32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54</v>
      </c>
      <c r="K6">
        <v>220</v>
      </c>
      <c r="L6">
        <v>1</v>
      </c>
      <c r="M6">
        <v>25</v>
      </c>
      <c r="N6">
        <v>20</v>
      </c>
      <c r="O6">
        <v>118</v>
      </c>
      <c r="P6">
        <v>0</v>
      </c>
      <c r="Q6">
        <v>0</v>
      </c>
      <c r="R6">
        <v>0</v>
      </c>
      <c r="S6">
        <v>59.8</v>
      </c>
      <c r="T6">
        <v>4.8828125E-2</v>
      </c>
      <c r="U6">
        <v>4.07407407407407</v>
      </c>
      <c r="V6">
        <v>5.9</v>
      </c>
      <c r="Y6">
        <v>49.8</v>
      </c>
    </row>
    <row r="7" spans="1:25" x14ac:dyDescent="0.2">
      <c r="A7" t="s">
        <v>1262</v>
      </c>
      <c r="B7" t="s">
        <v>1258</v>
      </c>
      <c r="C7" t="s">
        <v>32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295</v>
      </c>
      <c r="K7">
        <v>1312</v>
      </c>
      <c r="L7">
        <v>10</v>
      </c>
      <c r="M7">
        <v>76</v>
      </c>
      <c r="N7">
        <v>57</v>
      </c>
      <c r="O7">
        <v>338</v>
      </c>
      <c r="P7">
        <v>0</v>
      </c>
      <c r="Q7">
        <v>0</v>
      </c>
      <c r="R7">
        <v>0</v>
      </c>
      <c r="S7">
        <v>284</v>
      </c>
      <c r="T7">
        <v>0.1484375</v>
      </c>
      <c r="U7">
        <v>4.4474576271186397</v>
      </c>
      <c r="V7">
        <v>5.9298245614035103</v>
      </c>
      <c r="Y7">
        <v>253.5</v>
      </c>
    </row>
    <row r="8" spans="1:25" x14ac:dyDescent="0.2">
      <c r="A8" t="s">
        <v>1263</v>
      </c>
      <c r="B8" t="s">
        <v>1258</v>
      </c>
      <c r="C8" t="s">
        <v>39</v>
      </c>
      <c r="D8">
        <v>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8</v>
      </c>
      <c r="N8">
        <v>7</v>
      </c>
      <c r="O8">
        <v>65</v>
      </c>
      <c r="P8">
        <v>1</v>
      </c>
      <c r="Q8">
        <v>0</v>
      </c>
      <c r="R8">
        <v>0</v>
      </c>
      <c r="S8">
        <v>19.5</v>
      </c>
      <c r="T8">
        <v>1.5625E-2</v>
      </c>
      <c r="V8">
        <v>9.28571428571429</v>
      </c>
      <c r="Y8">
        <v>16</v>
      </c>
    </row>
    <row r="9" spans="1:25" x14ac:dyDescent="0.2">
      <c r="A9" t="s">
        <v>1264</v>
      </c>
      <c r="B9" t="s">
        <v>1258</v>
      </c>
      <c r="C9" t="s">
        <v>39</v>
      </c>
      <c r="D9">
        <v>11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  <c r="K9">
        <v>2</v>
      </c>
      <c r="L9">
        <v>1</v>
      </c>
      <c r="M9">
        <v>35</v>
      </c>
      <c r="N9">
        <v>30</v>
      </c>
      <c r="O9">
        <v>268</v>
      </c>
      <c r="P9">
        <v>2</v>
      </c>
      <c r="Q9">
        <v>0</v>
      </c>
      <c r="R9">
        <v>0</v>
      </c>
      <c r="S9">
        <v>75</v>
      </c>
      <c r="T9">
        <v>6.8359375E-2</v>
      </c>
      <c r="U9">
        <v>2</v>
      </c>
      <c r="V9">
        <v>8.93333333333333</v>
      </c>
      <c r="Y9">
        <v>60</v>
      </c>
    </row>
    <row r="10" spans="1:25" x14ac:dyDescent="0.2">
      <c r="A10" t="s">
        <v>1265</v>
      </c>
      <c r="B10" t="s">
        <v>1258</v>
      </c>
      <c r="C10" t="s">
        <v>39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18</v>
      </c>
      <c r="N10">
        <v>13</v>
      </c>
      <c r="O10">
        <v>118</v>
      </c>
      <c r="P10">
        <v>1</v>
      </c>
      <c r="Q10">
        <v>0</v>
      </c>
      <c r="R10">
        <v>0</v>
      </c>
      <c r="S10">
        <v>30.8</v>
      </c>
      <c r="T10">
        <v>3.515625E-2</v>
      </c>
      <c r="V10">
        <v>9.0769230769230802</v>
      </c>
      <c r="Y10">
        <v>24.3</v>
      </c>
    </row>
    <row r="11" spans="1:25" x14ac:dyDescent="0.2">
      <c r="A11" t="s">
        <v>1218</v>
      </c>
      <c r="B11" t="s">
        <v>1258</v>
      </c>
      <c r="C11" t="s">
        <v>39</v>
      </c>
      <c r="D11">
        <v>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7</v>
      </c>
      <c r="N11">
        <v>4</v>
      </c>
      <c r="O11">
        <v>42</v>
      </c>
      <c r="P11">
        <v>0</v>
      </c>
      <c r="Q11">
        <v>0</v>
      </c>
      <c r="R11">
        <v>0</v>
      </c>
      <c r="S11">
        <v>8.1999999999999993</v>
      </c>
      <c r="T11">
        <v>1.3671875E-2</v>
      </c>
      <c r="V11">
        <v>10.5</v>
      </c>
      <c r="Y11">
        <v>6.2</v>
      </c>
    </row>
    <row r="12" spans="1:25" x14ac:dyDescent="0.2">
      <c r="A12" t="s">
        <v>1266</v>
      </c>
      <c r="B12" t="s">
        <v>1258</v>
      </c>
      <c r="C12" t="s">
        <v>39</v>
      </c>
      <c r="D12">
        <v>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15</v>
      </c>
      <c r="N12">
        <v>10</v>
      </c>
      <c r="O12">
        <v>132</v>
      </c>
      <c r="P12">
        <v>0</v>
      </c>
      <c r="Q12">
        <v>0</v>
      </c>
      <c r="R12">
        <v>0</v>
      </c>
      <c r="S12">
        <v>23.2</v>
      </c>
      <c r="T12">
        <v>2.9296875E-2</v>
      </c>
      <c r="V12">
        <v>13.2</v>
      </c>
      <c r="Y12">
        <v>18.2</v>
      </c>
    </row>
    <row r="13" spans="1:25" x14ac:dyDescent="0.2">
      <c r="A13" t="s">
        <v>1267</v>
      </c>
      <c r="B13" t="s">
        <v>1258</v>
      </c>
      <c r="C13" t="s">
        <v>44</v>
      </c>
      <c r="D13">
        <v>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17</v>
      </c>
      <c r="N13">
        <v>11</v>
      </c>
      <c r="O13">
        <v>106</v>
      </c>
      <c r="P13">
        <v>0</v>
      </c>
      <c r="Q13">
        <v>0</v>
      </c>
      <c r="R13">
        <v>0</v>
      </c>
      <c r="S13">
        <v>21.6</v>
      </c>
      <c r="T13">
        <v>3.3203125E-2</v>
      </c>
      <c r="V13">
        <v>9.6363636363636402</v>
      </c>
      <c r="Y13">
        <v>16.100000000000001</v>
      </c>
    </row>
    <row r="14" spans="1:25" x14ac:dyDescent="0.2">
      <c r="A14" t="s">
        <v>1268</v>
      </c>
      <c r="B14" t="s">
        <v>1258</v>
      </c>
      <c r="C14" t="s">
        <v>44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71</v>
      </c>
      <c r="N14">
        <v>46</v>
      </c>
      <c r="O14">
        <v>724</v>
      </c>
      <c r="P14">
        <v>2</v>
      </c>
      <c r="Q14">
        <v>0</v>
      </c>
      <c r="R14">
        <v>0</v>
      </c>
      <c r="S14">
        <v>128.4</v>
      </c>
      <c r="T14">
        <v>0.138671875</v>
      </c>
      <c r="V14">
        <v>15.7391304347826</v>
      </c>
      <c r="Y14">
        <v>107.4</v>
      </c>
    </row>
    <row r="15" spans="1:25" x14ac:dyDescent="0.2">
      <c r="A15" t="s">
        <v>262</v>
      </c>
      <c r="B15" t="s">
        <v>1258</v>
      </c>
      <c r="C15" t="s">
        <v>44</v>
      </c>
      <c r="D15">
        <v>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42</v>
      </c>
      <c r="N15">
        <v>33</v>
      </c>
      <c r="O15">
        <v>351</v>
      </c>
      <c r="P15">
        <v>4</v>
      </c>
      <c r="Q15">
        <v>0</v>
      </c>
      <c r="R15">
        <v>0</v>
      </c>
      <c r="S15">
        <v>92.1</v>
      </c>
      <c r="T15">
        <v>8.203125E-2</v>
      </c>
      <c r="V15">
        <v>10.636363636363599</v>
      </c>
      <c r="Y15">
        <v>75.599999999999994</v>
      </c>
    </row>
    <row r="16" spans="1:25" x14ac:dyDescent="0.2">
      <c r="A16" t="s">
        <v>1269</v>
      </c>
      <c r="B16" t="s">
        <v>1258</v>
      </c>
      <c r="C16" t="s">
        <v>44</v>
      </c>
      <c r="D16">
        <v>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17</v>
      </c>
      <c r="N16">
        <v>6</v>
      </c>
      <c r="O16">
        <v>81</v>
      </c>
      <c r="P16">
        <v>1</v>
      </c>
      <c r="Q16">
        <v>0</v>
      </c>
      <c r="R16">
        <v>0</v>
      </c>
      <c r="S16">
        <v>20.100000000000001</v>
      </c>
      <c r="T16">
        <v>3.3203125E-2</v>
      </c>
      <c r="V16">
        <v>13.5</v>
      </c>
      <c r="Y16">
        <v>17.100000000000001</v>
      </c>
    </row>
    <row r="17" spans="1:25" x14ac:dyDescent="0.2">
      <c r="A17" t="s">
        <v>913</v>
      </c>
      <c r="B17" t="s">
        <v>1258</v>
      </c>
      <c r="C17" t="s">
        <v>44</v>
      </c>
      <c r="D17">
        <v>2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3</v>
      </c>
      <c r="N17">
        <v>2</v>
      </c>
      <c r="O17">
        <v>0</v>
      </c>
      <c r="P17">
        <v>0</v>
      </c>
      <c r="Q17">
        <v>0</v>
      </c>
      <c r="R17">
        <v>0</v>
      </c>
      <c r="S17">
        <v>4.3</v>
      </c>
      <c r="T17">
        <v>5.859375E-3</v>
      </c>
      <c r="U17">
        <v>11.5</v>
      </c>
      <c r="V17">
        <v>0</v>
      </c>
      <c r="Y17">
        <v>3.3</v>
      </c>
    </row>
    <row r="18" spans="1:25" x14ac:dyDescent="0.2">
      <c r="A18" t="s">
        <v>1270</v>
      </c>
      <c r="B18" t="s">
        <v>1258</v>
      </c>
      <c r="C18" t="s">
        <v>44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22</v>
      </c>
      <c r="N18">
        <v>9</v>
      </c>
      <c r="O18">
        <v>99</v>
      </c>
      <c r="P18">
        <v>0</v>
      </c>
      <c r="Q18">
        <v>0</v>
      </c>
      <c r="R18">
        <v>0</v>
      </c>
      <c r="S18">
        <v>18.899999999999999</v>
      </c>
      <c r="T18">
        <v>4.296875E-2</v>
      </c>
      <c r="V18">
        <v>11</v>
      </c>
      <c r="Y18">
        <v>14.4</v>
      </c>
    </row>
    <row r="19" spans="1:25" x14ac:dyDescent="0.2">
      <c r="A19" t="s">
        <v>1271</v>
      </c>
      <c r="B19" t="s">
        <v>1258</v>
      </c>
      <c r="C19" t="s">
        <v>44</v>
      </c>
      <c r="D19"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6</v>
      </c>
      <c r="L19">
        <v>0</v>
      </c>
      <c r="M19">
        <v>70</v>
      </c>
      <c r="N19">
        <v>57</v>
      </c>
      <c r="O19">
        <v>569</v>
      </c>
      <c r="P19">
        <v>4</v>
      </c>
      <c r="Q19">
        <v>0</v>
      </c>
      <c r="R19">
        <v>0</v>
      </c>
      <c r="S19">
        <v>138.5</v>
      </c>
      <c r="T19">
        <v>0.13671875</v>
      </c>
      <c r="U19">
        <v>3</v>
      </c>
      <c r="V19">
        <v>9.9824561403508802</v>
      </c>
      <c r="Y19">
        <v>110</v>
      </c>
    </row>
    <row r="20" spans="1:25" x14ac:dyDescent="0.2">
      <c r="A20" t="s">
        <v>1272</v>
      </c>
      <c r="B20" t="s">
        <v>1258</v>
      </c>
      <c r="C20" t="s">
        <v>44</v>
      </c>
      <c r="D20">
        <v>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24</v>
      </c>
      <c r="N20">
        <v>13</v>
      </c>
      <c r="O20">
        <v>154</v>
      </c>
      <c r="P20">
        <v>1</v>
      </c>
      <c r="Q20">
        <v>0</v>
      </c>
      <c r="R20">
        <v>0</v>
      </c>
      <c r="S20">
        <v>34.4</v>
      </c>
      <c r="T20">
        <v>4.6875E-2</v>
      </c>
      <c r="V20">
        <v>11.846153846153801</v>
      </c>
      <c r="Y20">
        <v>27.9</v>
      </c>
    </row>
    <row r="21" spans="1:25" x14ac:dyDescent="0.2">
      <c r="A21" t="s">
        <v>1273</v>
      </c>
      <c r="B21" t="s">
        <v>1258</v>
      </c>
      <c r="C21" t="s">
        <v>44</v>
      </c>
      <c r="D21">
        <v>6</v>
      </c>
      <c r="E21">
        <v>0</v>
      </c>
      <c r="F21">
        <v>0</v>
      </c>
      <c r="G21">
        <v>0</v>
      </c>
      <c r="H21">
        <v>0</v>
      </c>
      <c r="I21">
        <v>0</v>
      </c>
      <c r="J21">
        <v>2</v>
      </c>
      <c r="K21">
        <v>-1</v>
      </c>
      <c r="L21">
        <v>0</v>
      </c>
      <c r="M21">
        <v>31</v>
      </c>
      <c r="N21">
        <v>23</v>
      </c>
      <c r="O21">
        <v>227</v>
      </c>
      <c r="P21">
        <v>1</v>
      </c>
      <c r="Q21">
        <v>0</v>
      </c>
      <c r="R21">
        <v>0</v>
      </c>
      <c r="S21">
        <v>51.6</v>
      </c>
      <c r="T21">
        <v>6.0546875E-2</v>
      </c>
      <c r="U21">
        <v>-0.5</v>
      </c>
      <c r="V21">
        <v>9.8695652173912993</v>
      </c>
      <c r="Y21">
        <v>40.1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1258</v>
      </c>
      <c r="B31">
        <v>5953</v>
      </c>
      <c r="C31">
        <v>3431</v>
      </c>
      <c r="D31">
        <v>518</v>
      </c>
      <c r="E31">
        <v>2522</v>
      </c>
      <c r="F31">
        <v>21</v>
      </c>
      <c r="G31">
        <v>1360.54</v>
      </c>
      <c r="H31">
        <v>520</v>
      </c>
      <c r="I31">
        <v>0.66538461538461502</v>
      </c>
      <c r="J31">
        <v>17</v>
      </c>
      <c r="K31">
        <v>6</v>
      </c>
      <c r="L31">
        <v>4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1274</v>
      </c>
      <c r="B36" t="s">
        <v>27</v>
      </c>
      <c r="C36">
        <v>24</v>
      </c>
      <c r="D36">
        <v>0</v>
      </c>
      <c r="E36" t="s">
        <v>447</v>
      </c>
      <c r="F36" t="s">
        <v>1258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1275</v>
      </c>
      <c r="B37" t="s">
        <v>27</v>
      </c>
      <c r="C37">
        <v>26</v>
      </c>
      <c r="D37">
        <v>4</v>
      </c>
      <c r="E37" t="s">
        <v>819</v>
      </c>
      <c r="F37" t="s">
        <v>1258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1276</v>
      </c>
      <c r="B38" t="s">
        <v>27</v>
      </c>
      <c r="C38">
        <v>33</v>
      </c>
      <c r="D38">
        <v>12</v>
      </c>
      <c r="E38" t="s">
        <v>332</v>
      </c>
      <c r="F38" t="s">
        <v>1258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1277</v>
      </c>
      <c r="B39" t="s">
        <v>32</v>
      </c>
      <c r="C39">
        <v>26</v>
      </c>
      <c r="D39">
        <v>5</v>
      </c>
      <c r="E39" t="s">
        <v>340</v>
      </c>
      <c r="F39" t="s">
        <v>1258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1278</v>
      </c>
      <c r="B40" t="s">
        <v>32</v>
      </c>
      <c r="C40">
        <v>28</v>
      </c>
      <c r="D40">
        <v>6</v>
      </c>
      <c r="E40" t="s">
        <v>923</v>
      </c>
      <c r="F40" t="s">
        <v>1258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1279</v>
      </c>
      <c r="B41" t="s">
        <v>32</v>
      </c>
      <c r="C41">
        <v>25</v>
      </c>
      <c r="D41">
        <v>2</v>
      </c>
      <c r="E41" t="s">
        <v>1188</v>
      </c>
      <c r="F41" t="s">
        <v>1258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1280</v>
      </c>
      <c r="B42" t="s">
        <v>32</v>
      </c>
      <c r="C42">
        <v>22</v>
      </c>
      <c r="D42">
        <v>0</v>
      </c>
      <c r="E42" t="s">
        <v>744</v>
      </c>
      <c r="F42" t="s">
        <v>1258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1281</v>
      </c>
      <c r="B43" t="s">
        <v>32</v>
      </c>
      <c r="C43">
        <v>23</v>
      </c>
      <c r="D43">
        <v>0</v>
      </c>
      <c r="E43" t="s">
        <v>69</v>
      </c>
      <c r="F43" t="s">
        <v>1258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1282</v>
      </c>
      <c r="B44" t="s">
        <v>44</v>
      </c>
      <c r="C44">
        <v>25</v>
      </c>
      <c r="D44">
        <v>4</v>
      </c>
      <c r="E44" t="s">
        <v>209</v>
      </c>
      <c r="F44" t="s">
        <v>1258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1283</v>
      </c>
      <c r="B45" t="s">
        <v>44</v>
      </c>
      <c r="C45">
        <v>30</v>
      </c>
      <c r="D45">
        <v>8</v>
      </c>
      <c r="E45" t="s">
        <v>819</v>
      </c>
      <c r="F45" t="s">
        <v>1258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1284</v>
      </c>
      <c r="B46" t="s">
        <v>44</v>
      </c>
      <c r="C46">
        <v>23</v>
      </c>
      <c r="D46">
        <v>0</v>
      </c>
      <c r="E46" t="s">
        <v>345</v>
      </c>
      <c r="F46" t="s">
        <v>1258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1285</v>
      </c>
      <c r="B47" t="s">
        <v>44</v>
      </c>
      <c r="C47">
        <v>24</v>
      </c>
      <c r="D47">
        <v>2</v>
      </c>
      <c r="E47" t="s">
        <v>108</v>
      </c>
      <c r="F47" t="s">
        <v>1258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1286</v>
      </c>
      <c r="B48" t="s">
        <v>44</v>
      </c>
      <c r="C48">
        <v>21</v>
      </c>
      <c r="D48">
        <v>0</v>
      </c>
      <c r="E48" t="s">
        <v>141</v>
      </c>
      <c r="F48" t="s">
        <v>1258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1287</v>
      </c>
      <c r="B49" t="s">
        <v>44</v>
      </c>
      <c r="C49">
        <v>25</v>
      </c>
      <c r="D49">
        <v>3</v>
      </c>
      <c r="E49" t="s">
        <v>67</v>
      </c>
      <c r="F49" t="s">
        <v>1258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1288</v>
      </c>
      <c r="B50" t="s">
        <v>44</v>
      </c>
      <c r="C50">
        <v>29</v>
      </c>
      <c r="D50">
        <v>5</v>
      </c>
      <c r="E50" t="s">
        <v>85</v>
      </c>
      <c r="F50" t="s">
        <v>1258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1289</v>
      </c>
      <c r="B51" t="s">
        <v>44</v>
      </c>
      <c r="C51">
        <v>24</v>
      </c>
      <c r="D51">
        <v>0</v>
      </c>
      <c r="E51" t="s">
        <v>309</v>
      </c>
      <c r="F51" t="s">
        <v>1258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1290</v>
      </c>
      <c r="B52" t="s">
        <v>44</v>
      </c>
      <c r="C52">
        <v>21</v>
      </c>
      <c r="D52">
        <v>0</v>
      </c>
      <c r="E52" t="s">
        <v>550</v>
      </c>
      <c r="F52" t="s">
        <v>1258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1291</v>
      </c>
      <c r="B53" t="s">
        <v>44</v>
      </c>
      <c r="C53">
        <v>22</v>
      </c>
      <c r="D53">
        <v>0</v>
      </c>
      <c r="E53" t="s">
        <v>148</v>
      </c>
      <c r="F53" t="s">
        <v>1258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1292</v>
      </c>
      <c r="B54" t="s">
        <v>44</v>
      </c>
      <c r="C54">
        <v>30</v>
      </c>
      <c r="D54">
        <v>7</v>
      </c>
      <c r="E54" t="s">
        <v>69</v>
      </c>
      <c r="F54" t="s">
        <v>1258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1293</v>
      </c>
      <c r="B55" t="s">
        <v>44</v>
      </c>
      <c r="C55">
        <v>27</v>
      </c>
      <c r="D55">
        <v>2</v>
      </c>
      <c r="E55" t="s">
        <v>345</v>
      </c>
      <c r="F55" t="s">
        <v>1258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1294</v>
      </c>
      <c r="B56" t="s">
        <v>44</v>
      </c>
      <c r="C56">
        <v>26</v>
      </c>
      <c r="D56">
        <v>4</v>
      </c>
      <c r="E56" t="s">
        <v>466</v>
      </c>
      <c r="F56" t="s">
        <v>1258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1295</v>
      </c>
      <c r="B57" t="s">
        <v>44</v>
      </c>
      <c r="C57">
        <v>26</v>
      </c>
      <c r="D57">
        <v>3</v>
      </c>
      <c r="E57" t="s">
        <v>230</v>
      </c>
      <c r="F57" t="s">
        <v>1258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1296</v>
      </c>
      <c r="B58" t="s">
        <v>39</v>
      </c>
      <c r="C58">
        <v>22</v>
      </c>
      <c r="D58">
        <v>0</v>
      </c>
      <c r="E58" t="s">
        <v>666</v>
      </c>
      <c r="F58" t="s">
        <v>1258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1297</v>
      </c>
      <c r="B59" t="s">
        <v>39</v>
      </c>
      <c r="C59">
        <v>25</v>
      </c>
      <c r="D59">
        <v>2</v>
      </c>
      <c r="E59" t="s">
        <v>171</v>
      </c>
      <c r="F59" t="s">
        <v>1258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1298</v>
      </c>
      <c r="B60" t="s">
        <v>39</v>
      </c>
      <c r="C60">
        <v>23</v>
      </c>
      <c r="D60">
        <v>0</v>
      </c>
      <c r="E60" t="s">
        <v>215</v>
      </c>
      <c r="F60" t="s">
        <v>1258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1299</v>
      </c>
      <c r="B61" t="s">
        <v>39</v>
      </c>
      <c r="C61">
        <v>28</v>
      </c>
      <c r="D61">
        <v>4</v>
      </c>
      <c r="E61" t="s">
        <v>230</v>
      </c>
      <c r="F61" t="s">
        <v>1258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1300</v>
      </c>
      <c r="B62" t="s">
        <v>39</v>
      </c>
      <c r="C62">
        <v>30</v>
      </c>
      <c r="D62">
        <v>6</v>
      </c>
      <c r="E62" t="s">
        <v>457</v>
      </c>
      <c r="F62" t="s">
        <v>1258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AB64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1301</v>
      </c>
      <c r="B2" t="s">
        <v>1302</v>
      </c>
      <c r="C2" t="s">
        <v>27</v>
      </c>
      <c r="D2">
        <v>1</v>
      </c>
      <c r="E2">
        <v>15</v>
      </c>
      <c r="F2">
        <v>10</v>
      </c>
      <c r="G2">
        <v>90</v>
      </c>
      <c r="H2">
        <v>0</v>
      </c>
      <c r="I2">
        <v>0</v>
      </c>
      <c r="J2">
        <v>9</v>
      </c>
      <c r="K2">
        <v>54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9</v>
      </c>
      <c r="T2">
        <v>0</v>
      </c>
      <c r="U2">
        <v>6</v>
      </c>
      <c r="W2">
        <v>0.66666666666666696</v>
      </c>
      <c r="X2">
        <v>0</v>
      </c>
      <c r="Y2">
        <v>9</v>
      </c>
    </row>
    <row r="3" spans="1:25" x14ac:dyDescent="0.2">
      <c r="A3" t="s">
        <v>1303</v>
      </c>
      <c r="B3" t="s">
        <v>1302</v>
      </c>
      <c r="C3" t="s">
        <v>27</v>
      </c>
      <c r="D3">
        <v>5</v>
      </c>
      <c r="E3">
        <v>191</v>
      </c>
      <c r="F3">
        <v>110</v>
      </c>
      <c r="G3">
        <v>1051</v>
      </c>
      <c r="H3">
        <v>5</v>
      </c>
      <c r="I3">
        <v>3</v>
      </c>
      <c r="J3">
        <v>3</v>
      </c>
      <c r="K3">
        <v>6</v>
      </c>
      <c r="L3">
        <v>0</v>
      </c>
      <c r="M3">
        <v>1</v>
      </c>
      <c r="N3">
        <v>1</v>
      </c>
      <c r="O3">
        <v>-16</v>
      </c>
      <c r="P3">
        <v>0</v>
      </c>
      <c r="Q3">
        <v>4</v>
      </c>
      <c r="R3">
        <v>0</v>
      </c>
      <c r="S3">
        <v>48.04</v>
      </c>
      <c r="T3">
        <v>1.9230769230769199E-3</v>
      </c>
      <c r="U3">
        <v>2</v>
      </c>
      <c r="V3">
        <v>-16</v>
      </c>
      <c r="W3">
        <v>0.57591623036649198</v>
      </c>
      <c r="X3">
        <v>2.6178010471204199E-2</v>
      </c>
      <c r="Y3">
        <v>51.64</v>
      </c>
    </row>
    <row r="4" spans="1:25" x14ac:dyDescent="0.2">
      <c r="A4" t="s">
        <v>1304</v>
      </c>
      <c r="B4" t="s">
        <v>1302</v>
      </c>
      <c r="C4" t="s">
        <v>27</v>
      </c>
      <c r="D4">
        <v>4</v>
      </c>
      <c r="E4">
        <v>175</v>
      </c>
      <c r="F4">
        <v>103</v>
      </c>
      <c r="G4">
        <v>1192</v>
      </c>
      <c r="H4">
        <v>3</v>
      </c>
      <c r="I4">
        <v>4</v>
      </c>
      <c r="J4">
        <v>6</v>
      </c>
      <c r="K4">
        <v>9</v>
      </c>
      <c r="L4">
        <v>1</v>
      </c>
      <c r="M4">
        <v>0</v>
      </c>
      <c r="N4">
        <v>0</v>
      </c>
      <c r="O4">
        <v>0</v>
      </c>
      <c r="P4">
        <v>0</v>
      </c>
      <c r="Q4">
        <v>1</v>
      </c>
      <c r="R4">
        <v>0</v>
      </c>
      <c r="S4">
        <v>56.58</v>
      </c>
      <c r="T4">
        <v>0</v>
      </c>
      <c r="U4">
        <v>1.5</v>
      </c>
      <c r="W4">
        <v>0.58857142857142897</v>
      </c>
      <c r="X4">
        <v>1.7142857142857099E-2</v>
      </c>
      <c r="Y4">
        <v>60.58</v>
      </c>
    </row>
    <row r="5" spans="1:25" x14ac:dyDescent="0.2">
      <c r="A5" t="s">
        <v>1305</v>
      </c>
      <c r="B5" t="s">
        <v>1302</v>
      </c>
      <c r="C5" t="s">
        <v>27</v>
      </c>
      <c r="D5">
        <v>9</v>
      </c>
      <c r="E5">
        <v>242</v>
      </c>
      <c r="F5">
        <v>132</v>
      </c>
      <c r="G5">
        <v>1688</v>
      </c>
      <c r="H5">
        <v>6</v>
      </c>
      <c r="I5">
        <v>7</v>
      </c>
      <c r="J5">
        <v>28</v>
      </c>
      <c r="K5">
        <v>102</v>
      </c>
      <c r="L5">
        <v>1</v>
      </c>
      <c r="M5">
        <v>1</v>
      </c>
      <c r="N5">
        <v>1</v>
      </c>
      <c r="O5">
        <v>2</v>
      </c>
      <c r="P5">
        <v>1</v>
      </c>
      <c r="Q5">
        <v>1</v>
      </c>
      <c r="R5">
        <v>0</v>
      </c>
      <c r="S5">
        <v>98.92</v>
      </c>
      <c r="T5">
        <v>1.9230769230769199E-3</v>
      </c>
      <c r="U5">
        <v>3.6428571428571401</v>
      </c>
      <c r="V5">
        <v>2</v>
      </c>
      <c r="W5">
        <v>0.54545454545454497</v>
      </c>
      <c r="X5">
        <v>2.4793388429752101E-2</v>
      </c>
      <c r="Y5">
        <v>98.72</v>
      </c>
    </row>
    <row r="6" spans="1:25" x14ac:dyDescent="0.2">
      <c r="A6" t="s">
        <v>1306</v>
      </c>
      <c r="B6" t="s">
        <v>1302</v>
      </c>
      <c r="C6" t="s">
        <v>32</v>
      </c>
      <c r="D6">
        <v>7</v>
      </c>
      <c r="E6">
        <v>0</v>
      </c>
      <c r="F6">
        <v>0</v>
      </c>
      <c r="G6">
        <v>0</v>
      </c>
      <c r="H6">
        <v>0</v>
      </c>
      <c r="I6">
        <v>0</v>
      </c>
      <c r="J6">
        <v>80</v>
      </c>
      <c r="K6">
        <v>463</v>
      </c>
      <c r="L6">
        <v>4</v>
      </c>
      <c r="M6">
        <v>31</v>
      </c>
      <c r="N6">
        <v>19</v>
      </c>
      <c r="O6">
        <v>218</v>
      </c>
      <c r="P6">
        <v>1</v>
      </c>
      <c r="Q6">
        <v>0</v>
      </c>
      <c r="R6">
        <v>0</v>
      </c>
      <c r="S6">
        <v>115.1</v>
      </c>
      <c r="T6">
        <v>5.9615384615384598E-2</v>
      </c>
      <c r="U6">
        <v>5.7874999999999996</v>
      </c>
      <c r="V6">
        <v>11.473684210526301</v>
      </c>
      <c r="Y6">
        <v>107.6</v>
      </c>
    </row>
    <row r="7" spans="1:25" x14ac:dyDescent="0.2">
      <c r="A7" t="s">
        <v>853</v>
      </c>
      <c r="B7" t="s">
        <v>1302</v>
      </c>
      <c r="C7" t="s">
        <v>32</v>
      </c>
      <c r="D7">
        <v>4</v>
      </c>
      <c r="E7">
        <v>0</v>
      </c>
      <c r="F7">
        <v>0</v>
      </c>
      <c r="G7">
        <v>0</v>
      </c>
      <c r="H7">
        <v>0</v>
      </c>
      <c r="I7">
        <v>0</v>
      </c>
      <c r="J7">
        <v>29</v>
      </c>
      <c r="K7">
        <v>85</v>
      </c>
      <c r="L7">
        <v>0</v>
      </c>
      <c r="M7">
        <v>3</v>
      </c>
      <c r="N7">
        <v>2</v>
      </c>
      <c r="O7">
        <v>5</v>
      </c>
      <c r="P7">
        <v>1</v>
      </c>
      <c r="Q7">
        <v>0</v>
      </c>
      <c r="R7">
        <v>0</v>
      </c>
      <c r="S7">
        <v>17</v>
      </c>
      <c r="T7">
        <v>5.7692307692307704E-3</v>
      </c>
      <c r="U7">
        <v>2.9310344827586201</v>
      </c>
      <c r="V7">
        <v>2.5</v>
      </c>
      <c r="Y7">
        <v>16</v>
      </c>
    </row>
    <row r="8" spans="1:25" x14ac:dyDescent="0.2">
      <c r="A8" t="s">
        <v>1307</v>
      </c>
      <c r="B8" t="s">
        <v>1302</v>
      </c>
      <c r="C8" t="s">
        <v>32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114</v>
      </c>
      <c r="K8">
        <v>402</v>
      </c>
      <c r="L8">
        <v>3</v>
      </c>
      <c r="M8">
        <v>54</v>
      </c>
      <c r="N8">
        <v>41</v>
      </c>
      <c r="O8">
        <v>288</v>
      </c>
      <c r="P8">
        <v>0</v>
      </c>
      <c r="Q8">
        <v>1</v>
      </c>
      <c r="R8">
        <v>0</v>
      </c>
      <c r="S8">
        <v>126</v>
      </c>
      <c r="T8">
        <v>0.103846153846154</v>
      </c>
      <c r="U8">
        <v>3.5263157894736801</v>
      </c>
      <c r="V8">
        <v>7.0243902439024399</v>
      </c>
      <c r="Y8">
        <v>105.5</v>
      </c>
    </row>
    <row r="9" spans="1:25" x14ac:dyDescent="0.2">
      <c r="A9" t="s">
        <v>766</v>
      </c>
      <c r="B9" t="s">
        <v>1302</v>
      </c>
      <c r="C9" t="s">
        <v>32</v>
      </c>
      <c r="D9">
        <v>10</v>
      </c>
      <c r="E9">
        <v>0</v>
      </c>
      <c r="F9">
        <v>0</v>
      </c>
      <c r="G9">
        <v>0</v>
      </c>
      <c r="H9">
        <v>0</v>
      </c>
      <c r="I9">
        <v>0</v>
      </c>
      <c r="J9">
        <v>30</v>
      </c>
      <c r="K9">
        <v>160</v>
      </c>
      <c r="L9">
        <v>1</v>
      </c>
      <c r="M9">
        <v>24</v>
      </c>
      <c r="N9">
        <v>12</v>
      </c>
      <c r="O9">
        <v>88</v>
      </c>
      <c r="P9">
        <v>0</v>
      </c>
      <c r="Q9">
        <v>0</v>
      </c>
      <c r="R9">
        <v>0</v>
      </c>
      <c r="S9">
        <v>42.8</v>
      </c>
      <c r="T9">
        <v>4.6153846153846198E-2</v>
      </c>
      <c r="U9">
        <v>5.3333333333333304</v>
      </c>
      <c r="V9">
        <v>7.3333333333333304</v>
      </c>
      <c r="Y9">
        <v>36.799999999999997</v>
      </c>
    </row>
    <row r="10" spans="1:25" x14ac:dyDescent="0.2">
      <c r="A10" t="s">
        <v>1308</v>
      </c>
      <c r="B10" t="s">
        <v>1302</v>
      </c>
      <c r="C10" t="s">
        <v>32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J10">
        <v>85</v>
      </c>
      <c r="K10">
        <v>300</v>
      </c>
      <c r="L10">
        <v>1</v>
      </c>
      <c r="M10">
        <v>14</v>
      </c>
      <c r="N10">
        <v>13</v>
      </c>
      <c r="O10">
        <v>100</v>
      </c>
      <c r="P10">
        <v>0</v>
      </c>
      <c r="Q10">
        <v>0</v>
      </c>
      <c r="R10">
        <v>0</v>
      </c>
      <c r="S10">
        <v>59</v>
      </c>
      <c r="T10">
        <v>2.69230769230769E-2</v>
      </c>
      <c r="U10">
        <v>3.52941176470588</v>
      </c>
      <c r="V10">
        <v>7.6923076923076898</v>
      </c>
      <c r="Y10">
        <v>52.5</v>
      </c>
    </row>
    <row r="11" spans="1:25" x14ac:dyDescent="0.2">
      <c r="A11" t="s">
        <v>1309</v>
      </c>
      <c r="B11" t="s">
        <v>1302</v>
      </c>
      <c r="C11" t="s">
        <v>39</v>
      </c>
      <c r="D11">
        <v>12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27</v>
      </c>
      <c r="N11">
        <v>21</v>
      </c>
      <c r="O11">
        <v>232</v>
      </c>
      <c r="P11">
        <v>2</v>
      </c>
      <c r="Q11">
        <v>0</v>
      </c>
      <c r="R11">
        <v>0</v>
      </c>
      <c r="S11">
        <v>56.2</v>
      </c>
      <c r="T11">
        <v>5.1923076923076898E-2</v>
      </c>
      <c r="V11">
        <v>11.047619047618999</v>
      </c>
      <c r="Y11">
        <v>45.7</v>
      </c>
    </row>
    <row r="12" spans="1:25" x14ac:dyDescent="0.2">
      <c r="A12" t="s">
        <v>1310</v>
      </c>
      <c r="B12" t="s">
        <v>1302</v>
      </c>
      <c r="C12" t="s">
        <v>39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</v>
      </c>
      <c r="N12">
        <v>1</v>
      </c>
      <c r="O12">
        <v>8</v>
      </c>
      <c r="P12">
        <v>0</v>
      </c>
      <c r="Q12">
        <v>0</v>
      </c>
      <c r="R12">
        <v>0</v>
      </c>
      <c r="S12">
        <v>1.8</v>
      </c>
      <c r="T12">
        <v>3.8461538461538498E-3</v>
      </c>
      <c r="V12">
        <v>8</v>
      </c>
      <c r="Y12">
        <v>1.3</v>
      </c>
    </row>
    <row r="13" spans="1:25" x14ac:dyDescent="0.2">
      <c r="A13" t="s">
        <v>1265</v>
      </c>
      <c r="B13" t="s">
        <v>1302</v>
      </c>
      <c r="C13" t="s">
        <v>39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1.9230769230769199E-3</v>
      </c>
      <c r="Y13">
        <v>0</v>
      </c>
    </row>
    <row r="14" spans="1:25" x14ac:dyDescent="0.2">
      <c r="A14" t="s">
        <v>1311</v>
      </c>
      <c r="B14" t="s">
        <v>1302</v>
      </c>
      <c r="C14" t="s">
        <v>39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3</v>
      </c>
      <c r="L14">
        <v>0</v>
      </c>
      <c r="M14">
        <v>87</v>
      </c>
      <c r="N14">
        <v>58</v>
      </c>
      <c r="O14">
        <v>552</v>
      </c>
      <c r="P14">
        <v>3</v>
      </c>
      <c r="Q14">
        <v>0</v>
      </c>
      <c r="R14">
        <v>0</v>
      </c>
      <c r="S14">
        <v>131.5</v>
      </c>
      <c r="T14">
        <v>0.16730769230769199</v>
      </c>
      <c r="U14">
        <v>1.5</v>
      </c>
      <c r="V14">
        <v>9.5172413793103505</v>
      </c>
      <c r="Y14">
        <v>102.5</v>
      </c>
    </row>
    <row r="15" spans="1:25" x14ac:dyDescent="0.2">
      <c r="A15" t="s">
        <v>1312</v>
      </c>
      <c r="B15" t="s">
        <v>1302</v>
      </c>
      <c r="C15" t="s">
        <v>44</v>
      </c>
      <c r="D15">
        <v>15</v>
      </c>
      <c r="E15">
        <v>1</v>
      </c>
      <c r="F15">
        <v>1</v>
      </c>
      <c r="G15">
        <v>2</v>
      </c>
      <c r="H15">
        <v>1</v>
      </c>
      <c r="I15">
        <v>0</v>
      </c>
      <c r="J15">
        <v>9</v>
      </c>
      <c r="K15">
        <v>91</v>
      </c>
      <c r="L15">
        <v>2</v>
      </c>
      <c r="M15">
        <v>32</v>
      </c>
      <c r="N15">
        <v>18</v>
      </c>
      <c r="O15">
        <v>145</v>
      </c>
      <c r="P15">
        <v>0</v>
      </c>
      <c r="Q15">
        <v>0</v>
      </c>
      <c r="R15">
        <v>0</v>
      </c>
      <c r="S15">
        <v>57.68</v>
      </c>
      <c r="T15">
        <v>6.15384615384615E-2</v>
      </c>
      <c r="U15">
        <v>10.1111111111111</v>
      </c>
      <c r="V15">
        <v>8.0555555555555607</v>
      </c>
      <c r="W15">
        <v>1</v>
      </c>
      <c r="X15">
        <v>1</v>
      </c>
      <c r="Y15">
        <v>44.6</v>
      </c>
    </row>
    <row r="16" spans="1:25" x14ac:dyDescent="0.2">
      <c r="A16" t="s">
        <v>1313</v>
      </c>
      <c r="B16" t="s">
        <v>1302</v>
      </c>
      <c r="C16" t="s">
        <v>44</v>
      </c>
      <c r="D16">
        <v>13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64</v>
      </c>
      <c r="N16">
        <v>32</v>
      </c>
      <c r="O16">
        <v>536</v>
      </c>
      <c r="P16">
        <v>2</v>
      </c>
      <c r="Q16">
        <v>0</v>
      </c>
      <c r="R16">
        <v>0</v>
      </c>
      <c r="S16">
        <v>97.6</v>
      </c>
      <c r="T16">
        <v>0.123076923076923</v>
      </c>
      <c r="V16">
        <v>16.75</v>
      </c>
      <c r="Y16">
        <v>81.599999999999994</v>
      </c>
    </row>
    <row r="17" spans="1:25" x14ac:dyDescent="0.2">
      <c r="A17" t="s">
        <v>1314</v>
      </c>
      <c r="B17" t="s">
        <v>1302</v>
      </c>
      <c r="C17" t="s">
        <v>44</v>
      </c>
      <c r="D17">
        <v>9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25</v>
      </c>
      <c r="N17">
        <v>11</v>
      </c>
      <c r="O17">
        <v>186</v>
      </c>
      <c r="P17">
        <v>0</v>
      </c>
      <c r="Q17">
        <v>0</v>
      </c>
      <c r="R17">
        <v>0</v>
      </c>
      <c r="S17">
        <v>29.6</v>
      </c>
      <c r="T17">
        <v>4.80769230769231E-2</v>
      </c>
      <c r="V17">
        <v>16.909090909090899</v>
      </c>
      <c r="Y17">
        <v>24.1</v>
      </c>
    </row>
    <row r="18" spans="1:25" x14ac:dyDescent="0.2">
      <c r="A18" t="s">
        <v>1315</v>
      </c>
      <c r="B18" t="s">
        <v>1302</v>
      </c>
      <c r="C18" t="s">
        <v>44</v>
      </c>
      <c r="D18">
        <v>14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5</v>
      </c>
      <c r="L18">
        <v>0</v>
      </c>
      <c r="M18">
        <v>65</v>
      </c>
      <c r="N18">
        <v>37</v>
      </c>
      <c r="O18">
        <v>446</v>
      </c>
      <c r="P18">
        <v>1</v>
      </c>
      <c r="Q18">
        <v>0</v>
      </c>
      <c r="R18">
        <v>0</v>
      </c>
      <c r="S18">
        <v>88.1</v>
      </c>
      <c r="T18">
        <v>0.125</v>
      </c>
      <c r="U18">
        <v>1</v>
      </c>
      <c r="V18">
        <v>12.054054054054101</v>
      </c>
      <c r="Y18">
        <v>69.599999999999994</v>
      </c>
    </row>
    <row r="19" spans="1:25" x14ac:dyDescent="0.2">
      <c r="A19" t="s">
        <v>1316</v>
      </c>
      <c r="B19" t="s">
        <v>1302</v>
      </c>
      <c r="C19" t="s">
        <v>44</v>
      </c>
      <c r="D19">
        <v>17</v>
      </c>
      <c r="E19">
        <v>1</v>
      </c>
      <c r="F19">
        <v>0</v>
      </c>
      <c r="G19">
        <v>0</v>
      </c>
      <c r="H19">
        <v>0</v>
      </c>
      <c r="I19">
        <v>0</v>
      </c>
      <c r="J19">
        <v>4</v>
      </c>
      <c r="K19">
        <v>4</v>
      </c>
      <c r="L19">
        <v>0</v>
      </c>
      <c r="M19">
        <v>146</v>
      </c>
      <c r="N19">
        <v>82</v>
      </c>
      <c r="O19">
        <v>1116</v>
      </c>
      <c r="P19">
        <v>4</v>
      </c>
      <c r="Q19">
        <v>0</v>
      </c>
      <c r="R19">
        <v>0</v>
      </c>
      <c r="S19">
        <v>216</v>
      </c>
      <c r="T19">
        <v>0.28076923076923099</v>
      </c>
      <c r="U19">
        <v>1</v>
      </c>
      <c r="V19">
        <v>13.609756097561</v>
      </c>
      <c r="W19">
        <v>0</v>
      </c>
      <c r="X19">
        <v>0</v>
      </c>
      <c r="Y19">
        <v>177</v>
      </c>
    </row>
    <row r="20" spans="1:25" x14ac:dyDescent="0.2">
      <c r="A20" t="s">
        <v>1172</v>
      </c>
      <c r="B20" t="s">
        <v>1302</v>
      </c>
      <c r="C20" t="s">
        <v>44</v>
      </c>
      <c r="D20">
        <v>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</v>
      </c>
      <c r="N20">
        <v>8</v>
      </c>
      <c r="O20">
        <v>134</v>
      </c>
      <c r="P20">
        <v>0</v>
      </c>
      <c r="Q20">
        <v>0</v>
      </c>
      <c r="R20">
        <v>0</v>
      </c>
      <c r="S20">
        <v>21.4</v>
      </c>
      <c r="T20">
        <v>2.11538461538462E-2</v>
      </c>
      <c r="V20">
        <v>16.75</v>
      </c>
      <c r="Y20">
        <v>17.399999999999999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1302</v>
      </c>
      <c r="B31">
        <v>5707</v>
      </c>
      <c r="C31">
        <v>4023</v>
      </c>
      <c r="D31">
        <v>404</v>
      </c>
      <c r="E31">
        <v>1684</v>
      </c>
      <c r="F31">
        <v>13</v>
      </c>
      <c r="G31">
        <v>1272.32</v>
      </c>
      <c r="H31">
        <v>625</v>
      </c>
      <c r="I31">
        <v>0.5696</v>
      </c>
      <c r="J31">
        <v>15</v>
      </c>
      <c r="K31">
        <v>14</v>
      </c>
      <c r="L31">
        <v>7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1317</v>
      </c>
      <c r="B36" t="s">
        <v>27</v>
      </c>
      <c r="C36">
        <v>28</v>
      </c>
      <c r="D36">
        <v>5</v>
      </c>
      <c r="E36" t="s">
        <v>1318</v>
      </c>
      <c r="F36" t="s">
        <v>1302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1319</v>
      </c>
      <c r="B37" t="s">
        <v>27</v>
      </c>
      <c r="C37">
        <v>39</v>
      </c>
      <c r="D37">
        <v>18</v>
      </c>
      <c r="E37" t="s">
        <v>422</v>
      </c>
      <c r="F37" t="s">
        <v>1302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1320</v>
      </c>
      <c r="B38" t="s">
        <v>27</v>
      </c>
      <c r="C38">
        <v>28</v>
      </c>
      <c r="D38">
        <v>3</v>
      </c>
      <c r="E38" t="s">
        <v>1321</v>
      </c>
      <c r="F38" t="s">
        <v>1302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1322</v>
      </c>
      <c r="B39" t="s">
        <v>27</v>
      </c>
      <c r="C39">
        <v>23</v>
      </c>
      <c r="D39">
        <v>1</v>
      </c>
      <c r="E39" t="s">
        <v>81</v>
      </c>
      <c r="F39" t="s">
        <v>1302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1323</v>
      </c>
      <c r="B40" t="s">
        <v>32</v>
      </c>
      <c r="C40">
        <v>20</v>
      </c>
      <c r="D40">
        <v>0</v>
      </c>
      <c r="E40" t="s">
        <v>75</v>
      </c>
      <c r="F40" t="s">
        <v>1302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1324</v>
      </c>
      <c r="B41" t="s">
        <v>32</v>
      </c>
      <c r="C41">
        <v>24</v>
      </c>
      <c r="D41">
        <v>2</v>
      </c>
      <c r="E41" t="s">
        <v>163</v>
      </c>
      <c r="F41" t="s">
        <v>1302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1325</v>
      </c>
      <c r="B42" t="s">
        <v>32</v>
      </c>
      <c r="C42">
        <v>23</v>
      </c>
      <c r="D42">
        <v>0</v>
      </c>
      <c r="E42" t="s">
        <v>79</v>
      </c>
      <c r="F42" t="s">
        <v>1302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1326</v>
      </c>
      <c r="B43" t="s">
        <v>32</v>
      </c>
      <c r="C43">
        <v>22</v>
      </c>
      <c r="D43">
        <v>0</v>
      </c>
      <c r="E43" t="s">
        <v>243</v>
      </c>
      <c r="F43" t="s">
        <v>1302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1327</v>
      </c>
      <c r="B44" t="s">
        <v>32</v>
      </c>
      <c r="C44">
        <v>22</v>
      </c>
      <c r="D44">
        <v>0</v>
      </c>
      <c r="E44" t="s">
        <v>277</v>
      </c>
      <c r="F44" t="s">
        <v>1302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1328</v>
      </c>
      <c r="B45" t="s">
        <v>44</v>
      </c>
      <c r="C45">
        <v>24</v>
      </c>
      <c r="D45">
        <v>0</v>
      </c>
      <c r="E45" t="s">
        <v>237</v>
      </c>
      <c r="F45" t="s">
        <v>1302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1329</v>
      </c>
      <c r="B46" t="s">
        <v>44</v>
      </c>
      <c r="C46">
        <v>26</v>
      </c>
      <c r="D46">
        <v>0</v>
      </c>
      <c r="E46" t="s">
        <v>1330</v>
      </c>
      <c r="F46" t="s">
        <v>1302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1331</v>
      </c>
      <c r="B47" t="s">
        <v>44</v>
      </c>
      <c r="C47">
        <v>32</v>
      </c>
      <c r="D47">
        <v>12</v>
      </c>
      <c r="E47" t="s">
        <v>148</v>
      </c>
      <c r="F47" t="s">
        <v>1302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1332</v>
      </c>
      <c r="B48" t="s">
        <v>44</v>
      </c>
      <c r="C48">
        <v>28</v>
      </c>
      <c r="D48">
        <v>6</v>
      </c>
      <c r="E48" t="s">
        <v>358</v>
      </c>
      <c r="F48" t="s">
        <v>1302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1333</v>
      </c>
      <c r="B49" t="s">
        <v>44</v>
      </c>
      <c r="C49">
        <v>22</v>
      </c>
      <c r="D49">
        <v>0</v>
      </c>
      <c r="E49" t="s">
        <v>295</v>
      </c>
      <c r="F49" t="s">
        <v>1302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1334</v>
      </c>
      <c r="B50" t="s">
        <v>44</v>
      </c>
      <c r="C50">
        <v>22</v>
      </c>
      <c r="D50">
        <v>0</v>
      </c>
      <c r="E50" t="s">
        <v>1335</v>
      </c>
      <c r="F50" t="s">
        <v>1302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1336</v>
      </c>
      <c r="B51" t="s">
        <v>44</v>
      </c>
      <c r="C51">
        <v>25</v>
      </c>
      <c r="D51">
        <v>5</v>
      </c>
      <c r="E51" t="s">
        <v>171</v>
      </c>
      <c r="F51" t="s">
        <v>1302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1337</v>
      </c>
      <c r="B52" t="s">
        <v>44</v>
      </c>
      <c r="C52">
        <v>24</v>
      </c>
      <c r="D52">
        <v>0</v>
      </c>
      <c r="E52" t="s">
        <v>672</v>
      </c>
      <c r="F52" t="s">
        <v>1302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1338</v>
      </c>
      <c r="B53" t="s">
        <v>44</v>
      </c>
      <c r="C53">
        <v>27</v>
      </c>
      <c r="D53">
        <v>4</v>
      </c>
      <c r="E53" t="s">
        <v>243</v>
      </c>
      <c r="F53" t="s">
        <v>1302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1339</v>
      </c>
      <c r="B54" t="s">
        <v>44</v>
      </c>
      <c r="C54">
        <v>23</v>
      </c>
      <c r="D54">
        <v>0</v>
      </c>
      <c r="E54" t="s">
        <v>1340</v>
      </c>
      <c r="F54" t="s">
        <v>1302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1341</v>
      </c>
      <c r="B55" t="s">
        <v>44</v>
      </c>
      <c r="C55">
        <v>25</v>
      </c>
      <c r="D55">
        <v>3</v>
      </c>
      <c r="E55" t="s">
        <v>394</v>
      </c>
      <c r="F55" t="s">
        <v>1302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1342</v>
      </c>
      <c r="B56" t="s">
        <v>44</v>
      </c>
      <c r="C56">
        <v>31</v>
      </c>
      <c r="D56">
        <v>4</v>
      </c>
      <c r="E56" t="s">
        <v>1343</v>
      </c>
      <c r="F56" t="s">
        <v>1302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1344</v>
      </c>
      <c r="B57" t="s">
        <v>44</v>
      </c>
      <c r="C57">
        <v>27</v>
      </c>
      <c r="D57">
        <v>3</v>
      </c>
      <c r="E57" t="s">
        <v>1345</v>
      </c>
      <c r="F57" t="s">
        <v>1302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1346</v>
      </c>
      <c r="B58" t="s">
        <v>44</v>
      </c>
      <c r="C58">
        <v>22</v>
      </c>
      <c r="D58">
        <v>0</v>
      </c>
      <c r="E58" t="s">
        <v>209</v>
      </c>
      <c r="F58" t="s">
        <v>1302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1347</v>
      </c>
      <c r="B59" t="s">
        <v>39</v>
      </c>
      <c r="C59">
        <v>27</v>
      </c>
      <c r="D59">
        <v>5</v>
      </c>
      <c r="E59" t="s">
        <v>309</v>
      </c>
      <c r="F59" t="s">
        <v>1302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1348</v>
      </c>
      <c r="B60" t="s">
        <v>39</v>
      </c>
      <c r="C60">
        <v>24</v>
      </c>
      <c r="D60">
        <v>0</v>
      </c>
      <c r="E60" t="s">
        <v>457</v>
      </c>
      <c r="F60" t="s">
        <v>1302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1349</v>
      </c>
      <c r="B61" t="s">
        <v>39</v>
      </c>
      <c r="C61">
        <v>24</v>
      </c>
      <c r="D61">
        <v>0</v>
      </c>
      <c r="E61" t="s">
        <v>93</v>
      </c>
      <c r="F61" t="s">
        <v>1302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1350</v>
      </c>
      <c r="B62" t="s">
        <v>39</v>
      </c>
      <c r="C62">
        <v>22</v>
      </c>
      <c r="D62">
        <v>0</v>
      </c>
      <c r="E62" t="s">
        <v>209</v>
      </c>
      <c r="F62" t="s">
        <v>1302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1351</v>
      </c>
      <c r="B63" t="s">
        <v>39</v>
      </c>
      <c r="C63">
        <v>30</v>
      </c>
      <c r="D63">
        <v>8</v>
      </c>
      <c r="E63" t="s">
        <v>466</v>
      </c>
      <c r="F63" t="s">
        <v>1302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  <row r="64" spans="1:28" x14ac:dyDescent="0.2">
      <c r="A64" t="s">
        <v>1352</v>
      </c>
      <c r="B64" t="s">
        <v>39</v>
      </c>
      <c r="C64">
        <v>24</v>
      </c>
      <c r="D64">
        <v>2</v>
      </c>
      <c r="E64" t="s">
        <v>239</v>
      </c>
      <c r="F64" t="s">
        <v>1302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1353</v>
      </c>
      <c r="B2" t="s">
        <v>1354</v>
      </c>
      <c r="C2" t="s">
        <v>27</v>
      </c>
      <c r="D2">
        <v>5</v>
      </c>
      <c r="E2">
        <v>76</v>
      </c>
      <c r="F2">
        <v>44</v>
      </c>
      <c r="G2">
        <v>663</v>
      </c>
      <c r="H2">
        <v>3</v>
      </c>
      <c r="I2">
        <v>3</v>
      </c>
      <c r="J2">
        <v>7</v>
      </c>
      <c r="K2">
        <v>3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0</v>
      </c>
      <c r="S2">
        <v>36.82</v>
      </c>
      <c r="T2">
        <v>0</v>
      </c>
      <c r="U2">
        <v>0.42857142857142899</v>
      </c>
      <c r="W2">
        <v>0.57894736842105299</v>
      </c>
      <c r="X2">
        <v>3.94736842105263E-2</v>
      </c>
      <c r="Y2">
        <v>39.82</v>
      </c>
    </row>
    <row r="3" spans="1:25" x14ac:dyDescent="0.2">
      <c r="A3" t="s">
        <v>1355</v>
      </c>
      <c r="B3" t="s">
        <v>1354</v>
      </c>
      <c r="C3" t="s">
        <v>27</v>
      </c>
      <c r="D3">
        <v>15</v>
      </c>
      <c r="E3">
        <v>460</v>
      </c>
      <c r="F3">
        <v>306</v>
      </c>
      <c r="G3">
        <v>3701</v>
      </c>
      <c r="H3">
        <v>22</v>
      </c>
      <c r="I3">
        <v>6</v>
      </c>
      <c r="J3">
        <v>165</v>
      </c>
      <c r="K3">
        <v>760</v>
      </c>
      <c r="L3">
        <v>13</v>
      </c>
      <c r="M3">
        <v>0</v>
      </c>
      <c r="N3">
        <v>0</v>
      </c>
      <c r="O3">
        <v>0</v>
      </c>
      <c r="P3">
        <v>0</v>
      </c>
      <c r="Q3">
        <v>2</v>
      </c>
      <c r="R3">
        <v>2</v>
      </c>
      <c r="S3">
        <v>378.04</v>
      </c>
      <c r="T3">
        <v>0</v>
      </c>
      <c r="U3">
        <v>4.60606060606061</v>
      </c>
      <c r="W3">
        <v>0.66521739130434798</v>
      </c>
      <c r="X3">
        <v>4.7826086956521699E-2</v>
      </c>
      <c r="Y3">
        <v>384.04</v>
      </c>
    </row>
    <row r="4" spans="1:25" x14ac:dyDescent="0.2">
      <c r="A4" t="s">
        <v>1356</v>
      </c>
      <c r="B4" t="s">
        <v>1354</v>
      </c>
      <c r="C4" t="s">
        <v>32</v>
      </c>
      <c r="D4">
        <v>13</v>
      </c>
      <c r="E4">
        <v>0</v>
      </c>
      <c r="F4">
        <v>0</v>
      </c>
      <c r="G4">
        <v>0</v>
      </c>
      <c r="H4">
        <v>0</v>
      </c>
      <c r="I4">
        <v>0</v>
      </c>
      <c r="J4">
        <v>54</v>
      </c>
      <c r="K4">
        <v>217</v>
      </c>
      <c r="L4">
        <v>3</v>
      </c>
      <c r="M4">
        <v>6</v>
      </c>
      <c r="N4">
        <v>5</v>
      </c>
      <c r="O4">
        <v>15</v>
      </c>
      <c r="P4">
        <v>0</v>
      </c>
      <c r="Q4">
        <v>0</v>
      </c>
      <c r="R4">
        <v>0</v>
      </c>
      <c r="S4">
        <v>46.2</v>
      </c>
      <c r="T4">
        <v>9.5999999999999992E-3</v>
      </c>
      <c r="U4">
        <v>4.0185185185185199</v>
      </c>
      <c r="V4">
        <v>3</v>
      </c>
      <c r="Y4">
        <v>43.7</v>
      </c>
    </row>
    <row r="5" spans="1:25" x14ac:dyDescent="0.2">
      <c r="A5" t="s">
        <v>1357</v>
      </c>
      <c r="B5" t="s">
        <v>1354</v>
      </c>
      <c r="C5" t="s">
        <v>32</v>
      </c>
      <c r="D5">
        <v>17</v>
      </c>
      <c r="E5">
        <v>0</v>
      </c>
      <c r="F5">
        <v>0</v>
      </c>
      <c r="G5">
        <v>0</v>
      </c>
      <c r="H5">
        <v>0</v>
      </c>
      <c r="I5">
        <v>0</v>
      </c>
      <c r="J5">
        <v>53</v>
      </c>
      <c r="K5">
        <v>240</v>
      </c>
      <c r="L5">
        <v>4</v>
      </c>
      <c r="M5">
        <v>29</v>
      </c>
      <c r="N5">
        <v>23</v>
      </c>
      <c r="O5">
        <v>169</v>
      </c>
      <c r="P5">
        <v>0</v>
      </c>
      <c r="Q5">
        <v>0</v>
      </c>
      <c r="R5">
        <v>0</v>
      </c>
      <c r="S5">
        <v>87.9</v>
      </c>
      <c r="T5">
        <v>4.6399999999999997E-2</v>
      </c>
      <c r="U5">
        <v>4.52830188679245</v>
      </c>
      <c r="V5">
        <v>7.3478260869565197</v>
      </c>
      <c r="Y5">
        <v>76.400000000000006</v>
      </c>
    </row>
    <row r="6" spans="1:25" x14ac:dyDescent="0.2">
      <c r="A6" t="s">
        <v>1358</v>
      </c>
      <c r="B6" t="s">
        <v>1354</v>
      </c>
      <c r="C6" t="s">
        <v>32</v>
      </c>
      <c r="D6">
        <v>17</v>
      </c>
      <c r="E6">
        <v>0</v>
      </c>
      <c r="F6">
        <v>0</v>
      </c>
      <c r="G6">
        <v>0</v>
      </c>
      <c r="H6">
        <v>0</v>
      </c>
      <c r="I6">
        <v>0</v>
      </c>
      <c r="J6">
        <v>259</v>
      </c>
      <c r="K6">
        <v>1269</v>
      </c>
      <c r="L6">
        <v>11</v>
      </c>
      <c r="M6">
        <v>26</v>
      </c>
      <c r="N6">
        <v>20</v>
      </c>
      <c r="O6">
        <v>78</v>
      </c>
      <c r="P6">
        <v>0</v>
      </c>
      <c r="Q6">
        <v>1</v>
      </c>
      <c r="R6">
        <v>0</v>
      </c>
      <c r="S6">
        <v>216.7</v>
      </c>
      <c r="T6">
        <v>4.1599999999999998E-2</v>
      </c>
      <c r="U6">
        <v>4.8996138996139003</v>
      </c>
      <c r="V6">
        <v>3.9</v>
      </c>
      <c r="Y6">
        <v>208.7</v>
      </c>
    </row>
    <row r="7" spans="1:25" x14ac:dyDescent="0.2">
      <c r="A7" t="s">
        <v>1359</v>
      </c>
      <c r="B7" t="s">
        <v>1354</v>
      </c>
      <c r="C7" t="s">
        <v>32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2</v>
      </c>
      <c r="K7">
        <v>19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1.9</v>
      </c>
      <c r="T7">
        <v>0</v>
      </c>
      <c r="U7">
        <v>9.5</v>
      </c>
      <c r="Y7">
        <v>1.9</v>
      </c>
    </row>
    <row r="8" spans="1:25" x14ac:dyDescent="0.2">
      <c r="A8" t="s">
        <v>1360</v>
      </c>
      <c r="B8" t="s">
        <v>1354</v>
      </c>
      <c r="C8" t="s">
        <v>39</v>
      </c>
      <c r="D8">
        <v>12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69</v>
      </c>
      <c r="N8">
        <v>55</v>
      </c>
      <c r="O8">
        <v>702</v>
      </c>
      <c r="P8">
        <v>3</v>
      </c>
      <c r="Q8">
        <v>0</v>
      </c>
      <c r="R8">
        <v>0</v>
      </c>
      <c r="S8">
        <v>141.19999999999999</v>
      </c>
      <c r="T8">
        <v>0.1104</v>
      </c>
      <c r="V8">
        <v>12.763636363636399</v>
      </c>
      <c r="Y8">
        <v>115.7</v>
      </c>
    </row>
    <row r="9" spans="1:25" x14ac:dyDescent="0.2">
      <c r="A9" t="s">
        <v>1361</v>
      </c>
      <c r="B9" t="s">
        <v>1354</v>
      </c>
      <c r="C9" t="s">
        <v>39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9</v>
      </c>
      <c r="N9">
        <v>5</v>
      </c>
      <c r="O9">
        <v>81</v>
      </c>
      <c r="P9">
        <v>0</v>
      </c>
      <c r="Q9">
        <v>0</v>
      </c>
      <c r="R9">
        <v>0</v>
      </c>
      <c r="S9">
        <v>13.1</v>
      </c>
      <c r="T9">
        <v>1.44E-2</v>
      </c>
      <c r="V9">
        <v>16.2</v>
      </c>
      <c r="Y9">
        <v>10.6</v>
      </c>
    </row>
    <row r="10" spans="1:25" x14ac:dyDescent="0.2">
      <c r="A10" t="s">
        <v>1362</v>
      </c>
      <c r="B10" t="s">
        <v>1354</v>
      </c>
      <c r="C10" t="s">
        <v>39</v>
      </c>
      <c r="D10">
        <v>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14</v>
      </c>
      <c r="N10">
        <v>11</v>
      </c>
      <c r="O10">
        <v>123</v>
      </c>
      <c r="P10">
        <v>0</v>
      </c>
      <c r="Q10">
        <v>0</v>
      </c>
      <c r="R10">
        <v>0</v>
      </c>
      <c r="S10">
        <v>23.3</v>
      </c>
      <c r="T10">
        <v>2.24E-2</v>
      </c>
      <c r="V10">
        <v>11.181818181818199</v>
      </c>
      <c r="Y10">
        <v>17.8</v>
      </c>
    </row>
    <row r="11" spans="1:25" x14ac:dyDescent="0.2">
      <c r="A11" t="s">
        <v>1363</v>
      </c>
      <c r="B11" t="s">
        <v>1354</v>
      </c>
      <c r="C11" t="s">
        <v>39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1.6000000000000001E-3</v>
      </c>
      <c r="Y11">
        <v>0</v>
      </c>
    </row>
    <row r="12" spans="1:25" x14ac:dyDescent="0.2">
      <c r="A12" t="s">
        <v>181</v>
      </c>
      <c r="B12" t="s">
        <v>1354</v>
      </c>
      <c r="C12" t="s">
        <v>44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145</v>
      </c>
      <c r="N12">
        <v>88</v>
      </c>
      <c r="O12">
        <v>1496</v>
      </c>
      <c r="P12">
        <v>11</v>
      </c>
      <c r="Q12">
        <v>0</v>
      </c>
      <c r="R12">
        <v>0</v>
      </c>
      <c r="S12">
        <v>299.60000000000002</v>
      </c>
      <c r="T12">
        <v>0.23200000000000001</v>
      </c>
      <c r="V12">
        <v>17</v>
      </c>
      <c r="Y12">
        <v>259.60000000000002</v>
      </c>
    </row>
    <row r="13" spans="1:25" x14ac:dyDescent="0.2">
      <c r="A13" t="s">
        <v>1364</v>
      </c>
      <c r="B13" t="s">
        <v>1354</v>
      </c>
      <c r="C13" t="s">
        <v>44</v>
      </c>
      <c r="D13">
        <v>17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136</v>
      </c>
      <c r="N13">
        <v>95</v>
      </c>
      <c r="O13">
        <v>1196</v>
      </c>
      <c r="P13">
        <v>7</v>
      </c>
      <c r="Q13">
        <v>0</v>
      </c>
      <c r="R13">
        <v>0</v>
      </c>
      <c r="S13">
        <v>254.6</v>
      </c>
      <c r="T13">
        <v>0.21759999999999999</v>
      </c>
      <c r="V13">
        <v>12.5894736842105</v>
      </c>
      <c r="Y13">
        <v>209.1</v>
      </c>
    </row>
    <row r="14" spans="1:25" x14ac:dyDescent="0.2">
      <c r="A14" t="s">
        <v>1365</v>
      </c>
      <c r="B14" t="s">
        <v>1354</v>
      </c>
      <c r="C14" t="s">
        <v>44</v>
      </c>
      <c r="D14">
        <v>16</v>
      </c>
      <c r="E14">
        <v>0</v>
      </c>
      <c r="F14">
        <v>0</v>
      </c>
      <c r="G14">
        <v>0</v>
      </c>
      <c r="H14">
        <v>0</v>
      </c>
      <c r="I14">
        <v>0</v>
      </c>
      <c r="J14">
        <v>3</v>
      </c>
      <c r="K14">
        <v>1</v>
      </c>
      <c r="L14">
        <v>0</v>
      </c>
      <c r="M14">
        <v>51</v>
      </c>
      <c r="N14">
        <v>33</v>
      </c>
      <c r="O14">
        <v>354</v>
      </c>
      <c r="P14">
        <v>3</v>
      </c>
      <c r="Q14">
        <v>0</v>
      </c>
      <c r="R14">
        <v>0</v>
      </c>
      <c r="S14">
        <v>84.5</v>
      </c>
      <c r="T14">
        <v>8.1600000000000006E-2</v>
      </c>
      <c r="U14">
        <v>0.33333333333333298</v>
      </c>
      <c r="V14">
        <v>10.7272727272727</v>
      </c>
      <c r="Y14">
        <v>70</v>
      </c>
    </row>
    <row r="15" spans="1:25" x14ac:dyDescent="0.2">
      <c r="A15" t="s">
        <v>1366</v>
      </c>
      <c r="B15" t="s">
        <v>1354</v>
      </c>
      <c r="C15" t="s">
        <v>44</v>
      </c>
      <c r="D15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19</v>
      </c>
      <c r="N15">
        <v>15</v>
      </c>
      <c r="O15">
        <v>150</v>
      </c>
      <c r="P15">
        <v>1</v>
      </c>
      <c r="Q15">
        <v>0</v>
      </c>
      <c r="R15">
        <v>0</v>
      </c>
      <c r="S15">
        <v>36</v>
      </c>
      <c r="T15">
        <v>3.04E-2</v>
      </c>
      <c r="U15">
        <v>0</v>
      </c>
      <c r="V15">
        <v>10</v>
      </c>
      <c r="Y15">
        <v>28.5</v>
      </c>
    </row>
    <row r="30" spans="1:12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12" x14ac:dyDescent="0.2">
      <c r="A31" t="s">
        <v>1354</v>
      </c>
      <c r="B31">
        <v>6873</v>
      </c>
      <c r="C31">
        <v>4364</v>
      </c>
      <c r="D31">
        <v>544</v>
      </c>
      <c r="E31">
        <v>2509</v>
      </c>
      <c r="F31">
        <v>32</v>
      </c>
      <c r="G31">
        <v>1619.86</v>
      </c>
      <c r="H31">
        <v>536</v>
      </c>
      <c r="I31">
        <v>0.65298507462686595</v>
      </c>
      <c r="J31">
        <v>25</v>
      </c>
      <c r="K31">
        <v>9</v>
      </c>
      <c r="L31">
        <v>4</v>
      </c>
    </row>
    <row r="32" spans="1:12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1367</v>
      </c>
      <c r="B36" t="s">
        <v>27</v>
      </c>
      <c r="C36">
        <v>25</v>
      </c>
      <c r="D36">
        <v>2</v>
      </c>
      <c r="E36" t="s">
        <v>363</v>
      </c>
      <c r="F36" t="s">
        <v>1354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1368</v>
      </c>
      <c r="B37" t="s">
        <v>27</v>
      </c>
      <c r="C37">
        <v>24</v>
      </c>
      <c r="D37">
        <v>3</v>
      </c>
      <c r="E37" t="s">
        <v>69</v>
      </c>
      <c r="F37" t="s">
        <v>1354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1369</v>
      </c>
      <c r="B38" t="s">
        <v>27</v>
      </c>
      <c r="C38">
        <v>29</v>
      </c>
      <c r="D38">
        <v>8</v>
      </c>
      <c r="E38" t="s">
        <v>201</v>
      </c>
      <c r="F38" t="s">
        <v>1354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1370</v>
      </c>
      <c r="B39" t="s">
        <v>27</v>
      </c>
      <c r="C39">
        <v>23</v>
      </c>
      <c r="D39">
        <v>0</v>
      </c>
      <c r="E39" t="s">
        <v>97</v>
      </c>
      <c r="F39" t="s">
        <v>1354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1371</v>
      </c>
      <c r="B40" t="s">
        <v>32</v>
      </c>
      <c r="C40">
        <v>24</v>
      </c>
      <c r="D40">
        <v>0</v>
      </c>
      <c r="E40" t="s">
        <v>69</v>
      </c>
      <c r="F40" t="s">
        <v>1354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1372</v>
      </c>
      <c r="B41" t="s">
        <v>32</v>
      </c>
      <c r="C41">
        <v>24</v>
      </c>
      <c r="D41">
        <v>2</v>
      </c>
      <c r="E41" t="s">
        <v>558</v>
      </c>
      <c r="F41" t="s">
        <v>1354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1373</v>
      </c>
      <c r="B42" t="s">
        <v>32</v>
      </c>
      <c r="C42">
        <v>27</v>
      </c>
      <c r="D42">
        <v>5</v>
      </c>
      <c r="E42" t="s">
        <v>666</v>
      </c>
      <c r="F42" t="s">
        <v>1354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1374</v>
      </c>
      <c r="B43" t="s">
        <v>32</v>
      </c>
      <c r="C43">
        <v>28</v>
      </c>
      <c r="D43">
        <v>4</v>
      </c>
      <c r="E43" t="s">
        <v>65</v>
      </c>
      <c r="F43" t="s">
        <v>1354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1375</v>
      </c>
      <c r="B44" t="s">
        <v>32</v>
      </c>
      <c r="C44">
        <v>24</v>
      </c>
      <c r="D44">
        <v>2</v>
      </c>
      <c r="E44" t="s">
        <v>209</v>
      </c>
      <c r="F44" t="s">
        <v>1354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1376</v>
      </c>
      <c r="B45" t="s">
        <v>32</v>
      </c>
      <c r="C45">
        <v>24</v>
      </c>
      <c r="D45">
        <v>3</v>
      </c>
      <c r="E45" t="s">
        <v>171</v>
      </c>
      <c r="F45" t="s">
        <v>1354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1377</v>
      </c>
      <c r="B46" t="s">
        <v>44</v>
      </c>
      <c r="C46">
        <v>28</v>
      </c>
      <c r="D46">
        <v>0</v>
      </c>
      <c r="E46" t="s">
        <v>201</v>
      </c>
      <c r="F46" t="s">
        <v>1354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1378</v>
      </c>
      <c r="B47" t="s">
        <v>44</v>
      </c>
      <c r="C47">
        <v>26</v>
      </c>
      <c r="D47">
        <v>4</v>
      </c>
      <c r="E47" t="s">
        <v>239</v>
      </c>
      <c r="F47" t="s">
        <v>1354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1379</v>
      </c>
      <c r="B48" t="s">
        <v>44</v>
      </c>
      <c r="C48">
        <v>25</v>
      </c>
      <c r="D48">
        <v>3</v>
      </c>
      <c r="E48" t="s">
        <v>176</v>
      </c>
      <c r="F48" t="s">
        <v>1354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1380</v>
      </c>
      <c r="B49" t="s">
        <v>44</v>
      </c>
      <c r="C49">
        <v>26</v>
      </c>
      <c r="D49">
        <v>0</v>
      </c>
      <c r="E49" t="s">
        <v>203</v>
      </c>
      <c r="F49" t="s">
        <v>1354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1381</v>
      </c>
      <c r="B50" t="s">
        <v>44</v>
      </c>
      <c r="C50">
        <v>22</v>
      </c>
      <c r="D50">
        <v>0</v>
      </c>
      <c r="E50" t="s">
        <v>173</v>
      </c>
      <c r="F50" t="s">
        <v>1354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1382</v>
      </c>
      <c r="B51" t="s">
        <v>44</v>
      </c>
      <c r="C51">
        <v>22</v>
      </c>
      <c r="D51">
        <v>0</v>
      </c>
      <c r="E51" t="s">
        <v>460</v>
      </c>
      <c r="F51" t="s">
        <v>1354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1383</v>
      </c>
      <c r="B52" t="s">
        <v>44</v>
      </c>
      <c r="C52">
        <v>23</v>
      </c>
      <c r="D52">
        <v>1</v>
      </c>
      <c r="E52" t="s">
        <v>398</v>
      </c>
      <c r="F52" t="s">
        <v>1354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1384</v>
      </c>
      <c r="B53" t="s">
        <v>44</v>
      </c>
      <c r="C53">
        <v>24</v>
      </c>
      <c r="D53">
        <v>2</v>
      </c>
      <c r="E53" t="s">
        <v>153</v>
      </c>
      <c r="F53" t="s">
        <v>1354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1385</v>
      </c>
      <c r="B54" t="s">
        <v>44</v>
      </c>
      <c r="C54">
        <v>28</v>
      </c>
      <c r="D54">
        <v>4</v>
      </c>
      <c r="E54" t="s">
        <v>71</v>
      </c>
      <c r="F54" t="s">
        <v>1354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1386</v>
      </c>
      <c r="B55" t="s">
        <v>44</v>
      </c>
      <c r="C55">
        <v>25</v>
      </c>
      <c r="D55">
        <v>3</v>
      </c>
      <c r="E55" t="s">
        <v>237</v>
      </c>
      <c r="F55" t="s">
        <v>1354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1387</v>
      </c>
      <c r="B56" t="s">
        <v>44</v>
      </c>
      <c r="C56">
        <v>25</v>
      </c>
      <c r="D56">
        <v>4</v>
      </c>
      <c r="E56" t="s">
        <v>412</v>
      </c>
      <c r="F56" t="s">
        <v>1354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1388</v>
      </c>
      <c r="B57" t="s">
        <v>39</v>
      </c>
      <c r="C57">
        <v>28</v>
      </c>
      <c r="D57">
        <v>6</v>
      </c>
      <c r="E57" t="s">
        <v>1389</v>
      </c>
      <c r="F57" t="s">
        <v>1354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1390</v>
      </c>
      <c r="B58" t="s">
        <v>39</v>
      </c>
      <c r="C58">
        <v>24</v>
      </c>
      <c r="D58">
        <v>0</v>
      </c>
      <c r="E58" t="s">
        <v>234</v>
      </c>
      <c r="F58" t="s">
        <v>1354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1391</v>
      </c>
      <c r="B59" t="s">
        <v>39</v>
      </c>
      <c r="C59">
        <v>28</v>
      </c>
      <c r="D59">
        <v>5</v>
      </c>
      <c r="E59" t="s">
        <v>742</v>
      </c>
      <c r="F59" t="s">
        <v>1354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1392</v>
      </c>
      <c r="B60" t="s">
        <v>39</v>
      </c>
      <c r="C60">
        <v>25</v>
      </c>
      <c r="D60">
        <v>2</v>
      </c>
      <c r="E60" t="s">
        <v>794</v>
      </c>
      <c r="F60" t="s">
        <v>1354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1393</v>
      </c>
      <c r="B61" t="s">
        <v>39</v>
      </c>
      <c r="C61">
        <v>24</v>
      </c>
      <c r="D61">
        <v>3</v>
      </c>
      <c r="E61" t="s">
        <v>332</v>
      </c>
      <c r="F61" t="s">
        <v>1354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1394</v>
      </c>
      <c r="B62" t="s">
        <v>39</v>
      </c>
      <c r="C62">
        <v>24</v>
      </c>
      <c r="D62">
        <v>0</v>
      </c>
      <c r="E62" t="s">
        <v>83</v>
      </c>
      <c r="F62" t="s">
        <v>1354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1395</v>
      </c>
      <c r="B63" t="s">
        <v>39</v>
      </c>
      <c r="C63">
        <v>25</v>
      </c>
      <c r="D63">
        <v>2</v>
      </c>
      <c r="E63" t="s">
        <v>247</v>
      </c>
      <c r="F63" t="s">
        <v>1354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1396</v>
      </c>
      <c r="B2" t="s">
        <v>1397</v>
      </c>
      <c r="C2" t="s">
        <v>112</v>
      </c>
      <c r="D2">
        <v>10</v>
      </c>
      <c r="E2">
        <v>0</v>
      </c>
      <c r="F2">
        <v>0</v>
      </c>
      <c r="G2">
        <v>0</v>
      </c>
      <c r="H2">
        <v>0</v>
      </c>
      <c r="I2">
        <v>0</v>
      </c>
      <c r="J2">
        <v>9</v>
      </c>
      <c r="K2">
        <v>21</v>
      </c>
      <c r="L2">
        <v>1</v>
      </c>
      <c r="M2">
        <v>5</v>
      </c>
      <c r="N2">
        <v>5</v>
      </c>
      <c r="O2">
        <v>11</v>
      </c>
      <c r="P2">
        <v>1</v>
      </c>
      <c r="Q2">
        <v>0</v>
      </c>
      <c r="R2">
        <v>0</v>
      </c>
      <c r="S2">
        <v>20.2</v>
      </c>
      <c r="T2">
        <v>9.3283582089552196E-3</v>
      </c>
      <c r="U2">
        <v>2.3333333333333299</v>
      </c>
      <c r="V2">
        <v>2.2000000000000002</v>
      </c>
      <c r="Y2">
        <v>17.7</v>
      </c>
    </row>
    <row r="3" spans="1:25" x14ac:dyDescent="0.2">
      <c r="A3" t="s">
        <v>1398</v>
      </c>
      <c r="B3" t="s">
        <v>1397</v>
      </c>
      <c r="C3" t="s">
        <v>27</v>
      </c>
      <c r="D3">
        <v>13</v>
      </c>
      <c r="E3">
        <v>389</v>
      </c>
      <c r="F3">
        <v>245</v>
      </c>
      <c r="G3">
        <v>2404</v>
      </c>
      <c r="H3">
        <v>7</v>
      </c>
      <c r="I3">
        <v>9</v>
      </c>
      <c r="J3">
        <v>55</v>
      </c>
      <c r="K3">
        <v>237</v>
      </c>
      <c r="L3">
        <v>3</v>
      </c>
      <c r="M3">
        <v>0</v>
      </c>
      <c r="N3">
        <v>0</v>
      </c>
      <c r="O3">
        <v>0</v>
      </c>
      <c r="P3">
        <v>0</v>
      </c>
      <c r="Q3">
        <v>1</v>
      </c>
      <c r="R3">
        <v>2</v>
      </c>
      <c r="S3">
        <v>149.86000000000001</v>
      </c>
      <c r="T3">
        <v>0</v>
      </c>
      <c r="U3">
        <v>4.3090909090909104</v>
      </c>
      <c r="W3">
        <v>0.62982005141388198</v>
      </c>
      <c r="X3">
        <v>1.7994858611825201E-2</v>
      </c>
      <c r="Y3">
        <v>158.86000000000001</v>
      </c>
    </row>
    <row r="4" spans="1:25" x14ac:dyDescent="0.2">
      <c r="A4" t="s">
        <v>1399</v>
      </c>
      <c r="B4" t="s">
        <v>1397</v>
      </c>
      <c r="C4" t="s">
        <v>27</v>
      </c>
      <c r="D4">
        <v>7</v>
      </c>
      <c r="E4">
        <v>180</v>
      </c>
      <c r="F4">
        <v>117</v>
      </c>
      <c r="G4">
        <v>1252</v>
      </c>
      <c r="H4">
        <v>4</v>
      </c>
      <c r="I4">
        <v>5</v>
      </c>
      <c r="J4">
        <v>19</v>
      </c>
      <c r="K4">
        <v>38</v>
      </c>
      <c r="L4">
        <v>2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73.88</v>
      </c>
      <c r="T4">
        <v>0</v>
      </c>
      <c r="U4">
        <v>2</v>
      </c>
      <c r="W4">
        <v>0.65</v>
      </c>
      <c r="X4">
        <v>2.2222222222222199E-2</v>
      </c>
      <c r="Y4">
        <v>78.88</v>
      </c>
    </row>
    <row r="5" spans="1:25" x14ac:dyDescent="0.2">
      <c r="A5" t="s">
        <v>1400</v>
      </c>
      <c r="B5" t="s">
        <v>1397</v>
      </c>
      <c r="C5" t="s">
        <v>32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6</v>
      </c>
      <c r="K5">
        <v>30</v>
      </c>
      <c r="L5">
        <v>0</v>
      </c>
      <c r="M5">
        <v>2</v>
      </c>
      <c r="N5">
        <v>2</v>
      </c>
      <c r="O5">
        <v>11</v>
      </c>
      <c r="P5">
        <v>0</v>
      </c>
      <c r="Q5">
        <v>0</v>
      </c>
      <c r="R5">
        <v>0</v>
      </c>
      <c r="S5">
        <v>6.1</v>
      </c>
      <c r="T5">
        <v>3.7313432835820899E-3</v>
      </c>
      <c r="U5">
        <v>5</v>
      </c>
      <c r="V5">
        <v>5.5</v>
      </c>
      <c r="Y5">
        <v>5.0999999999999996</v>
      </c>
    </row>
    <row r="6" spans="1:25" x14ac:dyDescent="0.2">
      <c r="A6" t="s">
        <v>1401</v>
      </c>
      <c r="B6" t="s">
        <v>1397</v>
      </c>
      <c r="C6" t="s">
        <v>32</v>
      </c>
      <c r="D6">
        <v>3</v>
      </c>
      <c r="E6">
        <v>0</v>
      </c>
      <c r="F6">
        <v>0</v>
      </c>
      <c r="G6">
        <v>0</v>
      </c>
      <c r="H6">
        <v>0</v>
      </c>
      <c r="I6">
        <v>0</v>
      </c>
      <c r="J6">
        <v>20</v>
      </c>
      <c r="K6">
        <v>90</v>
      </c>
      <c r="L6">
        <v>1</v>
      </c>
      <c r="M6">
        <v>2</v>
      </c>
      <c r="N6">
        <v>2</v>
      </c>
      <c r="O6">
        <v>17</v>
      </c>
      <c r="P6">
        <v>0</v>
      </c>
      <c r="Q6">
        <v>0</v>
      </c>
      <c r="R6">
        <v>0</v>
      </c>
      <c r="S6">
        <v>18.7</v>
      </c>
      <c r="T6">
        <v>3.7313432835820899E-3</v>
      </c>
      <c r="U6">
        <v>4.5</v>
      </c>
      <c r="V6">
        <v>8.5</v>
      </c>
      <c r="Y6">
        <v>17.7</v>
      </c>
    </row>
    <row r="7" spans="1:25" x14ac:dyDescent="0.2">
      <c r="A7" t="s">
        <v>1402</v>
      </c>
      <c r="B7" t="s">
        <v>1397</v>
      </c>
      <c r="C7" t="s">
        <v>32</v>
      </c>
      <c r="D7">
        <v>16</v>
      </c>
      <c r="E7">
        <v>0</v>
      </c>
      <c r="F7">
        <v>0</v>
      </c>
      <c r="G7">
        <v>0</v>
      </c>
      <c r="H7">
        <v>0</v>
      </c>
      <c r="I7">
        <v>0</v>
      </c>
      <c r="J7">
        <v>77</v>
      </c>
      <c r="K7">
        <v>379</v>
      </c>
      <c r="L7">
        <v>1</v>
      </c>
      <c r="M7">
        <v>33</v>
      </c>
      <c r="N7">
        <v>28</v>
      </c>
      <c r="O7">
        <v>214</v>
      </c>
      <c r="P7">
        <v>0</v>
      </c>
      <c r="Q7">
        <v>0</v>
      </c>
      <c r="R7">
        <v>0</v>
      </c>
      <c r="S7">
        <v>93.3</v>
      </c>
      <c r="T7">
        <v>6.1567164179104503E-2</v>
      </c>
      <c r="U7">
        <v>4.9220779220779196</v>
      </c>
      <c r="V7">
        <v>7.6428571428571397</v>
      </c>
      <c r="Y7">
        <v>79.3</v>
      </c>
    </row>
    <row r="8" spans="1:25" x14ac:dyDescent="0.2">
      <c r="A8" t="s">
        <v>1403</v>
      </c>
      <c r="B8" t="s">
        <v>1397</v>
      </c>
      <c r="C8" t="s">
        <v>32</v>
      </c>
      <c r="D8">
        <v>17</v>
      </c>
      <c r="E8">
        <v>1</v>
      </c>
      <c r="F8">
        <v>1</v>
      </c>
      <c r="G8">
        <v>4</v>
      </c>
      <c r="H8">
        <v>0</v>
      </c>
      <c r="I8">
        <v>0</v>
      </c>
      <c r="J8">
        <v>272</v>
      </c>
      <c r="K8">
        <v>1034</v>
      </c>
      <c r="L8">
        <v>7</v>
      </c>
      <c r="M8">
        <v>53</v>
      </c>
      <c r="N8">
        <v>41</v>
      </c>
      <c r="O8">
        <v>229</v>
      </c>
      <c r="P8">
        <v>3</v>
      </c>
      <c r="Q8">
        <v>1</v>
      </c>
      <c r="R8">
        <v>0</v>
      </c>
      <c r="S8">
        <v>223.46</v>
      </c>
      <c r="T8">
        <v>9.8880597014925395E-2</v>
      </c>
      <c r="U8">
        <v>3.8014705882352899</v>
      </c>
      <c r="V8">
        <v>5.5853658536585398</v>
      </c>
      <c r="W8">
        <v>1</v>
      </c>
      <c r="X8">
        <v>0</v>
      </c>
      <c r="Y8">
        <v>204.8</v>
      </c>
    </row>
    <row r="9" spans="1:25" x14ac:dyDescent="0.2">
      <c r="A9" t="s">
        <v>1404</v>
      </c>
      <c r="B9" t="s">
        <v>1397</v>
      </c>
      <c r="C9" t="s">
        <v>39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2</v>
      </c>
      <c r="K9">
        <v>27</v>
      </c>
      <c r="L9">
        <v>0</v>
      </c>
      <c r="M9">
        <v>17</v>
      </c>
      <c r="N9">
        <v>12</v>
      </c>
      <c r="O9">
        <v>151</v>
      </c>
      <c r="P9">
        <v>1</v>
      </c>
      <c r="Q9">
        <v>0</v>
      </c>
      <c r="R9">
        <v>0</v>
      </c>
      <c r="S9">
        <v>35.799999999999997</v>
      </c>
      <c r="T9">
        <v>3.1716417910447797E-2</v>
      </c>
      <c r="U9">
        <v>13.5</v>
      </c>
      <c r="V9">
        <v>12.5833333333333</v>
      </c>
      <c r="Y9">
        <v>29.8</v>
      </c>
    </row>
    <row r="10" spans="1:25" x14ac:dyDescent="0.2">
      <c r="A10" t="s">
        <v>1405</v>
      </c>
      <c r="B10" t="s">
        <v>1397</v>
      </c>
      <c r="C10" t="s">
        <v>39</v>
      </c>
      <c r="D10">
        <v>15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98</v>
      </c>
      <c r="N10">
        <v>63</v>
      </c>
      <c r="O10">
        <v>732</v>
      </c>
      <c r="P10">
        <v>2</v>
      </c>
      <c r="Q10">
        <v>0</v>
      </c>
      <c r="R10">
        <v>0</v>
      </c>
      <c r="S10">
        <v>148.19999999999999</v>
      </c>
      <c r="T10">
        <v>0.182835820895522</v>
      </c>
      <c r="V10">
        <v>11.619047619047601</v>
      </c>
      <c r="Y10">
        <v>116.7</v>
      </c>
    </row>
    <row r="11" spans="1:25" x14ac:dyDescent="0.2">
      <c r="A11" t="s">
        <v>1406</v>
      </c>
      <c r="B11" t="s">
        <v>1397</v>
      </c>
      <c r="C11" t="s">
        <v>39</v>
      </c>
      <c r="D11">
        <v>14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23</v>
      </c>
      <c r="N11">
        <v>19</v>
      </c>
      <c r="O11">
        <v>132</v>
      </c>
      <c r="P11">
        <v>0</v>
      </c>
      <c r="Q11">
        <v>0</v>
      </c>
      <c r="R11">
        <v>0</v>
      </c>
      <c r="S11">
        <v>32.200000000000003</v>
      </c>
      <c r="T11">
        <v>4.2910447761194001E-2</v>
      </c>
      <c r="V11">
        <v>6.9473684210526301</v>
      </c>
      <c r="Y11">
        <v>22.7</v>
      </c>
    </row>
    <row r="12" spans="1:25" x14ac:dyDescent="0.2">
      <c r="A12" t="s">
        <v>379</v>
      </c>
      <c r="B12" t="s">
        <v>1397</v>
      </c>
      <c r="C12" t="s">
        <v>44</v>
      </c>
      <c r="D12">
        <v>8</v>
      </c>
      <c r="E12">
        <v>1</v>
      </c>
      <c r="F12">
        <v>1</v>
      </c>
      <c r="G12">
        <v>1</v>
      </c>
      <c r="H12">
        <v>1</v>
      </c>
      <c r="I12">
        <v>0</v>
      </c>
      <c r="J12">
        <v>8</v>
      </c>
      <c r="K12">
        <v>55</v>
      </c>
      <c r="L12">
        <v>0</v>
      </c>
      <c r="M12">
        <v>50</v>
      </c>
      <c r="N12">
        <v>32</v>
      </c>
      <c r="O12">
        <v>311</v>
      </c>
      <c r="P12">
        <v>1</v>
      </c>
      <c r="Q12">
        <v>0</v>
      </c>
      <c r="R12">
        <v>0</v>
      </c>
      <c r="S12">
        <v>78.64</v>
      </c>
      <c r="T12">
        <v>9.3283582089552203E-2</v>
      </c>
      <c r="U12">
        <v>6.875</v>
      </c>
      <c r="V12">
        <v>9.71875</v>
      </c>
      <c r="W12">
        <v>1</v>
      </c>
      <c r="X12">
        <v>1</v>
      </c>
      <c r="Y12">
        <v>58.6</v>
      </c>
    </row>
    <row r="13" spans="1:25" x14ac:dyDescent="0.2">
      <c r="A13" t="s">
        <v>1407</v>
      </c>
      <c r="B13" t="s">
        <v>1397</v>
      </c>
      <c r="C13" t="s">
        <v>44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2</v>
      </c>
      <c r="P13">
        <v>0</v>
      </c>
      <c r="Q13">
        <v>0</v>
      </c>
      <c r="R13">
        <v>0</v>
      </c>
      <c r="S13">
        <v>1.2</v>
      </c>
      <c r="T13">
        <v>1.86567164179104E-3</v>
      </c>
      <c r="V13">
        <v>2</v>
      </c>
      <c r="Y13">
        <v>0.7</v>
      </c>
    </row>
    <row r="14" spans="1:25" x14ac:dyDescent="0.2">
      <c r="A14" t="s">
        <v>252</v>
      </c>
      <c r="B14" t="s">
        <v>1397</v>
      </c>
      <c r="C14" t="s">
        <v>44</v>
      </c>
      <c r="D14">
        <v>17</v>
      </c>
      <c r="E14">
        <v>0</v>
      </c>
      <c r="F14">
        <v>0</v>
      </c>
      <c r="G14">
        <v>0</v>
      </c>
      <c r="H14">
        <v>0</v>
      </c>
      <c r="I14">
        <v>0</v>
      </c>
      <c r="J14">
        <v>7</v>
      </c>
      <c r="K14">
        <v>25</v>
      </c>
      <c r="L14">
        <v>0</v>
      </c>
      <c r="M14">
        <v>147</v>
      </c>
      <c r="N14">
        <v>86</v>
      </c>
      <c r="O14">
        <v>882</v>
      </c>
      <c r="P14">
        <v>0</v>
      </c>
      <c r="Q14">
        <v>0</v>
      </c>
      <c r="R14">
        <v>0</v>
      </c>
      <c r="S14">
        <v>180.7</v>
      </c>
      <c r="T14">
        <v>0.27425373134328401</v>
      </c>
      <c r="U14">
        <v>3.5714285714285698</v>
      </c>
      <c r="V14">
        <v>10.255813953488399</v>
      </c>
      <c r="Y14">
        <v>133.69999999999999</v>
      </c>
    </row>
    <row r="15" spans="1:25" x14ac:dyDescent="0.2">
      <c r="A15" t="s">
        <v>1408</v>
      </c>
      <c r="B15" t="s">
        <v>1397</v>
      </c>
      <c r="C15" t="s">
        <v>44</v>
      </c>
      <c r="D15"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8</v>
      </c>
      <c r="K15">
        <v>39</v>
      </c>
      <c r="L15">
        <v>0</v>
      </c>
      <c r="M15">
        <v>7</v>
      </c>
      <c r="N15">
        <v>5</v>
      </c>
      <c r="O15">
        <v>53</v>
      </c>
      <c r="P15">
        <v>0</v>
      </c>
      <c r="Q15">
        <v>0</v>
      </c>
      <c r="R15">
        <v>0</v>
      </c>
      <c r="S15">
        <v>14.2</v>
      </c>
      <c r="T15">
        <v>1.3059701492537301E-2</v>
      </c>
      <c r="U15">
        <v>4.875</v>
      </c>
      <c r="V15">
        <v>10.6</v>
      </c>
      <c r="Y15">
        <v>11.7</v>
      </c>
    </row>
    <row r="16" spans="1:25" x14ac:dyDescent="0.2">
      <c r="A16" t="s">
        <v>1409</v>
      </c>
      <c r="B16" t="s">
        <v>1397</v>
      </c>
      <c r="C16" t="s">
        <v>44</v>
      </c>
      <c r="D16">
        <v>17</v>
      </c>
      <c r="E16">
        <v>0</v>
      </c>
      <c r="F16">
        <v>0</v>
      </c>
      <c r="G16">
        <v>0</v>
      </c>
      <c r="H16">
        <v>0</v>
      </c>
      <c r="I16">
        <v>0</v>
      </c>
      <c r="J16">
        <v>3</v>
      </c>
      <c r="K16">
        <v>24</v>
      </c>
      <c r="L16">
        <v>1</v>
      </c>
      <c r="M16">
        <v>84</v>
      </c>
      <c r="N16">
        <v>52</v>
      </c>
      <c r="O16">
        <v>801</v>
      </c>
      <c r="P16">
        <v>4</v>
      </c>
      <c r="Q16">
        <v>0</v>
      </c>
      <c r="R16">
        <v>0</v>
      </c>
      <c r="S16">
        <v>166.5</v>
      </c>
      <c r="T16">
        <v>0.15671641791044799</v>
      </c>
      <c r="U16">
        <v>8</v>
      </c>
      <c r="V16">
        <v>15.403846153846199</v>
      </c>
      <c r="Y16">
        <v>138.5</v>
      </c>
    </row>
    <row r="17" spans="1:25" x14ac:dyDescent="0.2">
      <c r="A17" t="s">
        <v>1410</v>
      </c>
      <c r="B17" t="s">
        <v>1397</v>
      </c>
      <c r="C17" t="s">
        <v>44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3</v>
      </c>
      <c r="N17">
        <v>2</v>
      </c>
      <c r="O17">
        <v>11</v>
      </c>
      <c r="P17">
        <v>0</v>
      </c>
      <c r="Q17">
        <v>0</v>
      </c>
      <c r="R17">
        <v>0</v>
      </c>
      <c r="S17">
        <v>3.1</v>
      </c>
      <c r="T17">
        <v>5.5970149253731297E-3</v>
      </c>
      <c r="V17">
        <v>5.5</v>
      </c>
      <c r="Y17">
        <v>2.1</v>
      </c>
    </row>
    <row r="18" spans="1:25" x14ac:dyDescent="0.2">
      <c r="A18" t="s">
        <v>1411</v>
      </c>
      <c r="B18" t="s">
        <v>1397</v>
      </c>
      <c r="C18" t="s">
        <v>44</v>
      </c>
      <c r="D18">
        <v>11</v>
      </c>
      <c r="E18">
        <v>0</v>
      </c>
      <c r="F18">
        <v>0</v>
      </c>
      <c r="G18">
        <v>0</v>
      </c>
      <c r="H18">
        <v>0</v>
      </c>
      <c r="I18">
        <v>0</v>
      </c>
      <c r="J18">
        <v>13</v>
      </c>
      <c r="K18">
        <v>70</v>
      </c>
      <c r="L18">
        <v>0</v>
      </c>
      <c r="M18">
        <v>23</v>
      </c>
      <c r="N18">
        <v>14</v>
      </c>
      <c r="O18">
        <v>104</v>
      </c>
      <c r="P18">
        <v>0</v>
      </c>
      <c r="Q18">
        <v>0</v>
      </c>
      <c r="R18">
        <v>0</v>
      </c>
      <c r="S18">
        <v>31.4</v>
      </c>
      <c r="T18">
        <v>4.2910447761194001E-2</v>
      </c>
      <c r="U18">
        <v>5.3846153846153904</v>
      </c>
      <c r="V18">
        <v>7.4285714285714297</v>
      </c>
      <c r="Y18">
        <v>24.4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1397</v>
      </c>
      <c r="B31">
        <v>5730</v>
      </c>
      <c r="C31">
        <v>3661</v>
      </c>
      <c r="D31">
        <v>499</v>
      </c>
      <c r="E31">
        <v>2069</v>
      </c>
      <c r="F31">
        <v>16</v>
      </c>
      <c r="G31">
        <v>1277.44</v>
      </c>
      <c r="H31">
        <v>571</v>
      </c>
      <c r="I31">
        <v>0.63747810858143605</v>
      </c>
      <c r="J31">
        <v>12</v>
      </c>
      <c r="K31">
        <v>14</v>
      </c>
      <c r="L31">
        <v>2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1412</v>
      </c>
      <c r="B36" t="s">
        <v>27</v>
      </c>
      <c r="C36">
        <v>24</v>
      </c>
      <c r="D36">
        <v>0</v>
      </c>
      <c r="E36" t="s">
        <v>220</v>
      </c>
      <c r="F36" t="s">
        <v>1397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1413</v>
      </c>
      <c r="B37" t="s">
        <v>27</v>
      </c>
      <c r="C37">
        <v>25</v>
      </c>
      <c r="D37">
        <v>0</v>
      </c>
      <c r="E37" t="s">
        <v>75</v>
      </c>
      <c r="F37" t="s">
        <v>1397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1414</v>
      </c>
      <c r="B38" t="s">
        <v>27</v>
      </c>
      <c r="C38">
        <v>27</v>
      </c>
      <c r="D38">
        <v>5</v>
      </c>
      <c r="E38" t="s">
        <v>213</v>
      </c>
      <c r="F38" t="s">
        <v>1397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1415</v>
      </c>
      <c r="B39" t="s">
        <v>27</v>
      </c>
      <c r="C39">
        <v>28</v>
      </c>
      <c r="D39">
        <v>6</v>
      </c>
      <c r="E39" t="s">
        <v>163</v>
      </c>
      <c r="F39" t="s">
        <v>1397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1416</v>
      </c>
      <c r="B40" t="s">
        <v>32</v>
      </c>
      <c r="C40">
        <v>23</v>
      </c>
      <c r="D40">
        <v>0</v>
      </c>
      <c r="E40" t="s">
        <v>1417</v>
      </c>
      <c r="F40" t="s">
        <v>1397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1418</v>
      </c>
      <c r="B41" t="s">
        <v>32</v>
      </c>
      <c r="D41">
        <v>0</v>
      </c>
      <c r="E41" t="s">
        <v>1419</v>
      </c>
      <c r="F41" t="s">
        <v>1397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1420</v>
      </c>
      <c r="B42" t="s">
        <v>32</v>
      </c>
      <c r="C42">
        <v>25</v>
      </c>
      <c r="D42">
        <v>2</v>
      </c>
      <c r="E42" t="s">
        <v>153</v>
      </c>
      <c r="F42" t="s">
        <v>1397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1421</v>
      </c>
      <c r="B43" t="s">
        <v>32</v>
      </c>
      <c r="C43">
        <v>25</v>
      </c>
      <c r="D43">
        <v>2</v>
      </c>
      <c r="E43" t="s">
        <v>1422</v>
      </c>
      <c r="F43" t="s">
        <v>1397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1423</v>
      </c>
      <c r="B44" t="s">
        <v>32</v>
      </c>
      <c r="C44">
        <v>24</v>
      </c>
      <c r="D44">
        <v>3</v>
      </c>
      <c r="E44" t="s">
        <v>227</v>
      </c>
      <c r="F44" t="s">
        <v>1397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1424</v>
      </c>
      <c r="B45" t="s">
        <v>32</v>
      </c>
      <c r="C45">
        <v>23</v>
      </c>
      <c r="D45">
        <v>0</v>
      </c>
      <c r="E45" t="s">
        <v>243</v>
      </c>
      <c r="F45" t="s">
        <v>1397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1425</v>
      </c>
      <c r="B46" t="s">
        <v>32</v>
      </c>
      <c r="C46">
        <v>24</v>
      </c>
      <c r="D46">
        <v>0</v>
      </c>
      <c r="E46" t="s">
        <v>213</v>
      </c>
      <c r="F46" t="s">
        <v>1397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1426</v>
      </c>
      <c r="B47" t="s">
        <v>44</v>
      </c>
      <c r="C47">
        <v>24</v>
      </c>
      <c r="D47">
        <v>0</v>
      </c>
      <c r="E47" t="s">
        <v>558</v>
      </c>
      <c r="F47" t="s">
        <v>1397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1427</v>
      </c>
      <c r="B48" t="s">
        <v>44</v>
      </c>
      <c r="C48">
        <v>26</v>
      </c>
      <c r="D48">
        <v>4</v>
      </c>
      <c r="E48" t="s">
        <v>363</v>
      </c>
      <c r="F48" t="s">
        <v>1397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1428</v>
      </c>
      <c r="B49" t="s">
        <v>44</v>
      </c>
      <c r="C49">
        <v>26</v>
      </c>
      <c r="D49">
        <v>2</v>
      </c>
      <c r="E49" t="s">
        <v>575</v>
      </c>
      <c r="F49" t="s">
        <v>1397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1429</v>
      </c>
      <c r="B50" t="s">
        <v>44</v>
      </c>
      <c r="C50">
        <v>27</v>
      </c>
      <c r="D50">
        <v>3</v>
      </c>
      <c r="E50" t="s">
        <v>243</v>
      </c>
      <c r="F50" t="s">
        <v>1397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1430</v>
      </c>
      <c r="B51" t="s">
        <v>44</v>
      </c>
      <c r="C51">
        <v>23</v>
      </c>
      <c r="D51">
        <v>0</v>
      </c>
      <c r="E51" t="s">
        <v>666</v>
      </c>
      <c r="F51" t="s">
        <v>1397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1431</v>
      </c>
      <c r="B52" t="s">
        <v>44</v>
      </c>
      <c r="C52">
        <v>26</v>
      </c>
      <c r="D52">
        <v>3</v>
      </c>
      <c r="E52" t="s">
        <v>340</v>
      </c>
      <c r="F52" t="s">
        <v>1397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1432</v>
      </c>
      <c r="B53" t="s">
        <v>44</v>
      </c>
      <c r="C53">
        <v>25</v>
      </c>
      <c r="D53">
        <v>2</v>
      </c>
      <c r="E53" t="s">
        <v>205</v>
      </c>
      <c r="F53" t="s">
        <v>1397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1433</v>
      </c>
      <c r="B54" t="s">
        <v>44</v>
      </c>
      <c r="C54">
        <v>27</v>
      </c>
      <c r="D54">
        <v>4</v>
      </c>
      <c r="E54" t="s">
        <v>135</v>
      </c>
      <c r="F54" t="s">
        <v>1397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1434</v>
      </c>
      <c r="B55" t="s">
        <v>44</v>
      </c>
      <c r="C55">
        <v>26</v>
      </c>
      <c r="D55">
        <v>4</v>
      </c>
      <c r="E55" t="s">
        <v>1435</v>
      </c>
      <c r="F55" t="s">
        <v>1397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1436</v>
      </c>
      <c r="B56" t="s">
        <v>44</v>
      </c>
      <c r="C56">
        <v>22</v>
      </c>
      <c r="D56">
        <v>0</v>
      </c>
      <c r="E56" t="s">
        <v>171</v>
      </c>
      <c r="F56" t="s">
        <v>1397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1437</v>
      </c>
      <c r="B57" t="s">
        <v>44</v>
      </c>
      <c r="C57">
        <v>29</v>
      </c>
      <c r="D57">
        <v>10</v>
      </c>
      <c r="E57" t="s">
        <v>340</v>
      </c>
      <c r="F57" t="s">
        <v>1397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1438</v>
      </c>
      <c r="B58" t="s">
        <v>44</v>
      </c>
      <c r="C58">
        <v>24</v>
      </c>
      <c r="D58">
        <v>2</v>
      </c>
      <c r="E58" t="s">
        <v>733</v>
      </c>
      <c r="F58" t="s">
        <v>1397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1439</v>
      </c>
      <c r="B59" t="s">
        <v>39</v>
      </c>
      <c r="C59">
        <v>24</v>
      </c>
      <c r="D59">
        <v>2</v>
      </c>
      <c r="E59" t="s">
        <v>340</v>
      </c>
      <c r="F59" t="s">
        <v>1397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1440</v>
      </c>
      <c r="B60" t="s">
        <v>39</v>
      </c>
      <c r="C60">
        <v>26</v>
      </c>
      <c r="D60">
        <v>4</v>
      </c>
      <c r="E60" t="s">
        <v>100</v>
      </c>
      <c r="F60" t="s">
        <v>1397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1441</v>
      </c>
      <c r="B61" t="s">
        <v>39</v>
      </c>
      <c r="C61">
        <v>24</v>
      </c>
      <c r="D61">
        <v>0</v>
      </c>
      <c r="E61" t="s">
        <v>733</v>
      </c>
      <c r="F61" t="s">
        <v>1397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1442</v>
      </c>
      <c r="B62" t="s">
        <v>39</v>
      </c>
      <c r="C62">
        <v>21</v>
      </c>
      <c r="D62">
        <v>0</v>
      </c>
      <c r="E62" t="s">
        <v>171</v>
      </c>
      <c r="F62" t="s">
        <v>1397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1443</v>
      </c>
      <c r="B63" t="s">
        <v>39</v>
      </c>
      <c r="C63">
        <v>25</v>
      </c>
      <c r="D63">
        <v>0</v>
      </c>
      <c r="E63" t="s">
        <v>886</v>
      </c>
      <c r="F63" t="s">
        <v>1397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1444</v>
      </c>
      <c r="B2" t="s">
        <v>1445</v>
      </c>
      <c r="C2" t="s">
        <v>27</v>
      </c>
      <c r="D2">
        <v>17</v>
      </c>
      <c r="E2">
        <v>572</v>
      </c>
      <c r="F2">
        <v>399</v>
      </c>
      <c r="G2">
        <v>4282</v>
      </c>
      <c r="H2">
        <v>30</v>
      </c>
      <c r="I2">
        <v>11</v>
      </c>
      <c r="J2">
        <v>68</v>
      </c>
      <c r="K2">
        <v>366</v>
      </c>
      <c r="L2">
        <v>1</v>
      </c>
      <c r="M2">
        <v>0</v>
      </c>
      <c r="N2">
        <v>0</v>
      </c>
      <c r="O2">
        <v>0</v>
      </c>
      <c r="P2">
        <v>0</v>
      </c>
      <c r="Q2">
        <v>4</v>
      </c>
      <c r="R2">
        <v>0</v>
      </c>
      <c r="S2">
        <v>303.88</v>
      </c>
      <c r="T2">
        <v>0</v>
      </c>
      <c r="U2">
        <v>5.3823529411764701</v>
      </c>
      <c r="W2">
        <v>0.69755244755244805</v>
      </c>
      <c r="X2">
        <v>5.2447552447552399E-2</v>
      </c>
      <c r="Y2">
        <v>314.88</v>
      </c>
    </row>
    <row r="3" spans="1:25" x14ac:dyDescent="0.2">
      <c r="A3" t="s">
        <v>1446</v>
      </c>
      <c r="B3" t="s">
        <v>1445</v>
      </c>
      <c r="C3" t="s">
        <v>32</v>
      </c>
      <c r="D3">
        <v>11</v>
      </c>
      <c r="E3">
        <v>1</v>
      </c>
      <c r="F3">
        <v>0</v>
      </c>
      <c r="G3">
        <v>0</v>
      </c>
      <c r="H3">
        <v>0</v>
      </c>
      <c r="I3">
        <v>1</v>
      </c>
      <c r="J3">
        <v>35</v>
      </c>
      <c r="K3">
        <v>186</v>
      </c>
      <c r="L3">
        <v>0</v>
      </c>
      <c r="M3">
        <v>19</v>
      </c>
      <c r="N3">
        <v>17</v>
      </c>
      <c r="O3">
        <v>126</v>
      </c>
      <c r="P3">
        <v>0</v>
      </c>
      <c r="Q3">
        <v>0</v>
      </c>
      <c r="R3">
        <v>0</v>
      </c>
      <c r="S3">
        <v>46.2</v>
      </c>
      <c r="T3">
        <v>3.32749562171629E-2</v>
      </c>
      <c r="U3">
        <v>5.3142857142857096</v>
      </c>
      <c r="V3">
        <v>7.4117647058823497</v>
      </c>
      <c r="W3">
        <v>0</v>
      </c>
      <c r="X3">
        <v>0</v>
      </c>
      <c r="Y3">
        <v>39.700000000000003</v>
      </c>
    </row>
    <row r="4" spans="1:25" x14ac:dyDescent="0.2">
      <c r="A4" t="s">
        <v>1447</v>
      </c>
      <c r="B4" t="s">
        <v>1445</v>
      </c>
      <c r="C4" t="s">
        <v>32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4</v>
      </c>
      <c r="L4">
        <v>0</v>
      </c>
      <c r="M4">
        <v>1</v>
      </c>
      <c r="N4">
        <v>1</v>
      </c>
      <c r="O4">
        <v>3</v>
      </c>
      <c r="P4">
        <v>0</v>
      </c>
      <c r="Q4">
        <v>0</v>
      </c>
      <c r="R4">
        <v>0</v>
      </c>
      <c r="S4">
        <v>1.7</v>
      </c>
      <c r="T4">
        <v>1.7513134851138399E-3</v>
      </c>
      <c r="U4">
        <v>1.3333333333333299</v>
      </c>
      <c r="V4">
        <v>3</v>
      </c>
      <c r="Y4">
        <v>1.2</v>
      </c>
    </row>
    <row r="5" spans="1:25" x14ac:dyDescent="0.2">
      <c r="A5" t="s">
        <v>1448</v>
      </c>
      <c r="B5" t="s">
        <v>1445</v>
      </c>
      <c r="C5" t="s">
        <v>32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228</v>
      </c>
      <c r="K5">
        <v>1050</v>
      </c>
      <c r="L5">
        <v>9</v>
      </c>
      <c r="M5">
        <v>35</v>
      </c>
      <c r="N5">
        <v>27</v>
      </c>
      <c r="O5">
        <v>165</v>
      </c>
      <c r="P5">
        <v>0</v>
      </c>
      <c r="Q5">
        <v>0</v>
      </c>
      <c r="R5">
        <v>0</v>
      </c>
      <c r="S5">
        <v>202.5</v>
      </c>
      <c r="T5">
        <v>6.1295971978984197E-2</v>
      </c>
      <c r="U5">
        <v>4.6052631578947398</v>
      </c>
      <c r="V5">
        <v>6.1111111111111098</v>
      </c>
      <c r="Y5">
        <v>189</v>
      </c>
    </row>
    <row r="6" spans="1:25" x14ac:dyDescent="0.2">
      <c r="A6" t="s">
        <v>1449</v>
      </c>
      <c r="B6" t="s">
        <v>1445</v>
      </c>
      <c r="C6" t="s">
        <v>32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57</v>
      </c>
      <c r="K6">
        <v>346</v>
      </c>
      <c r="L6">
        <v>2</v>
      </c>
      <c r="M6">
        <v>5</v>
      </c>
      <c r="N6">
        <v>4</v>
      </c>
      <c r="O6">
        <v>16</v>
      </c>
      <c r="P6">
        <v>0</v>
      </c>
      <c r="Q6">
        <v>0</v>
      </c>
      <c r="R6">
        <v>0</v>
      </c>
      <c r="S6">
        <v>52.2</v>
      </c>
      <c r="T6">
        <v>8.7565674255691804E-3</v>
      </c>
      <c r="U6">
        <v>6.0701754385964897</v>
      </c>
      <c r="V6">
        <v>4</v>
      </c>
      <c r="Y6">
        <v>50.2</v>
      </c>
    </row>
    <row r="7" spans="1:25" x14ac:dyDescent="0.2">
      <c r="A7" t="s">
        <v>1450</v>
      </c>
      <c r="B7" t="s">
        <v>1445</v>
      </c>
      <c r="C7" t="s">
        <v>32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19</v>
      </c>
      <c r="K7">
        <v>74</v>
      </c>
      <c r="L7">
        <v>0</v>
      </c>
      <c r="M7">
        <v>18</v>
      </c>
      <c r="N7">
        <v>16</v>
      </c>
      <c r="O7">
        <v>157</v>
      </c>
      <c r="P7">
        <v>1</v>
      </c>
      <c r="Q7">
        <v>0</v>
      </c>
      <c r="R7">
        <v>0</v>
      </c>
      <c r="S7">
        <v>43.1</v>
      </c>
      <c r="T7">
        <v>3.1523642732049002E-2</v>
      </c>
      <c r="U7">
        <v>3.8947368421052602</v>
      </c>
      <c r="V7">
        <v>9.8125</v>
      </c>
      <c r="Y7">
        <v>37.1</v>
      </c>
    </row>
    <row r="8" spans="1:25" x14ac:dyDescent="0.2">
      <c r="A8" t="s">
        <v>863</v>
      </c>
      <c r="B8" t="s">
        <v>1445</v>
      </c>
      <c r="C8" t="s">
        <v>32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8</v>
      </c>
      <c r="K8">
        <v>16</v>
      </c>
      <c r="L8">
        <v>0</v>
      </c>
      <c r="M8">
        <v>6</v>
      </c>
      <c r="N8">
        <v>3</v>
      </c>
      <c r="O8">
        <v>18</v>
      </c>
      <c r="P8">
        <v>0</v>
      </c>
      <c r="Q8">
        <v>0</v>
      </c>
      <c r="R8">
        <v>0</v>
      </c>
      <c r="S8">
        <v>6.4</v>
      </c>
      <c r="T8">
        <v>1.0507880910683E-2</v>
      </c>
      <c r="U8">
        <v>2</v>
      </c>
      <c r="V8">
        <v>6</v>
      </c>
      <c r="Y8">
        <v>4.9000000000000004</v>
      </c>
    </row>
    <row r="9" spans="1:25" x14ac:dyDescent="0.2">
      <c r="A9" t="s">
        <v>1451</v>
      </c>
      <c r="B9" t="s">
        <v>1445</v>
      </c>
      <c r="C9" t="s">
        <v>39</v>
      </c>
      <c r="D9">
        <v>14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34</v>
      </c>
      <c r="N9">
        <v>25</v>
      </c>
      <c r="O9">
        <v>322</v>
      </c>
      <c r="P9">
        <v>2</v>
      </c>
      <c r="Q9">
        <v>0</v>
      </c>
      <c r="R9">
        <v>0</v>
      </c>
      <c r="S9">
        <v>69.2</v>
      </c>
      <c r="T9">
        <v>5.9544658493870403E-2</v>
      </c>
      <c r="V9">
        <v>12.88</v>
      </c>
      <c r="Y9">
        <v>56.7</v>
      </c>
    </row>
    <row r="10" spans="1:25" x14ac:dyDescent="0.2">
      <c r="A10" t="s">
        <v>1452</v>
      </c>
      <c r="B10" t="s">
        <v>1445</v>
      </c>
      <c r="C10" t="s">
        <v>39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63</v>
      </c>
      <c r="N10">
        <v>50</v>
      </c>
      <c r="O10">
        <v>486</v>
      </c>
      <c r="P10">
        <v>4</v>
      </c>
      <c r="Q10">
        <v>0</v>
      </c>
      <c r="R10">
        <v>0</v>
      </c>
      <c r="S10">
        <v>122.6</v>
      </c>
      <c r="T10">
        <v>0.110332749562172</v>
      </c>
      <c r="V10">
        <v>9.7200000000000006</v>
      </c>
      <c r="Y10">
        <v>97.6</v>
      </c>
    </row>
    <row r="11" spans="1:25" x14ac:dyDescent="0.2">
      <c r="A11" t="s">
        <v>1453</v>
      </c>
      <c r="B11" t="s">
        <v>1445</v>
      </c>
      <c r="C11" t="s">
        <v>39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</v>
      </c>
      <c r="N11">
        <v>1</v>
      </c>
      <c r="O11">
        <v>7</v>
      </c>
      <c r="P11">
        <v>1</v>
      </c>
      <c r="Q11">
        <v>0</v>
      </c>
      <c r="R11">
        <v>0</v>
      </c>
      <c r="S11">
        <v>7.7</v>
      </c>
      <c r="T11">
        <v>1.7513134851138399E-3</v>
      </c>
      <c r="V11">
        <v>7</v>
      </c>
      <c r="Y11">
        <v>7.2</v>
      </c>
    </row>
    <row r="12" spans="1:25" x14ac:dyDescent="0.2">
      <c r="A12" t="s">
        <v>1454</v>
      </c>
      <c r="B12" t="s">
        <v>1445</v>
      </c>
      <c r="C12" t="s">
        <v>39</v>
      </c>
      <c r="D12">
        <v>15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38</v>
      </c>
      <c r="N12">
        <v>34</v>
      </c>
      <c r="O12">
        <v>349</v>
      </c>
      <c r="P12">
        <v>3</v>
      </c>
      <c r="Q12">
        <v>0</v>
      </c>
      <c r="R12">
        <v>0</v>
      </c>
      <c r="S12">
        <v>86.9</v>
      </c>
      <c r="T12">
        <v>6.6549912434325703E-2</v>
      </c>
      <c r="V12">
        <v>10.264705882352899</v>
      </c>
      <c r="Y12">
        <v>69.900000000000006</v>
      </c>
    </row>
    <row r="13" spans="1:25" x14ac:dyDescent="0.2">
      <c r="A13" t="s">
        <v>1455</v>
      </c>
      <c r="B13" t="s">
        <v>1445</v>
      </c>
      <c r="C13" t="s">
        <v>44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2</v>
      </c>
      <c r="O13">
        <v>21</v>
      </c>
      <c r="P13">
        <v>0</v>
      </c>
      <c r="Q13">
        <v>0</v>
      </c>
      <c r="R13">
        <v>0</v>
      </c>
      <c r="S13">
        <v>4.0999999999999996</v>
      </c>
      <c r="T13">
        <v>7.0052539404553398E-3</v>
      </c>
      <c r="V13">
        <v>10.5</v>
      </c>
      <c r="Y13">
        <v>3.1</v>
      </c>
    </row>
    <row r="14" spans="1:25" x14ac:dyDescent="0.2">
      <c r="A14" t="s">
        <v>1456</v>
      </c>
      <c r="B14" t="s">
        <v>1445</v>
      </c>
      <c r="C14" t="s">
        <v>44</v>
      </c>
      <c r="D14">
        <v>8</v>
      </c>
      <c r="E14">
        <v>0</v>
      </c>
      <c r="F14">
        <v>0</v>
      </c>
      <c r="G14">
        <v>0</v>
      </c>
      <c r="H14">
        <v>0</v>
      </c>
      <c r="I14">
        <v>0</v>
      </c>
      <c r="J14">
        <v>2</v>
      </c>
      <c r="K14">
        <v>10</v>
      </c>
      <c r="L14">
        <v>0</v>
      </c>
      <c r="M14">
        <v>13</v>
      </c>
      <c r="N14">
        <v>7</v>
      </c>
      <c r="O14">
        <v>58</v>
      </c>
      <c r="P14">
        <v>0</v>
      </c>
      <c r="Q14">
        <v>0</v>
      </c>
      <c r="R14">
        <v>0</v>
      </c>
      <c r="S14">
        <v>13.8</v>
      </c>
      <c r="T14">
        <v>2.2767075306479902E-2</v>
      </c>
      <c r="U14">
        <v>5</v>
      </c>
      <c r="V14">
        <v>8.28571428571429</v>
      </c>
      <c r="Y14">
        <v>10.3</v>
      </c>
    </row>
    <row r="15" spans="1:25" x14ac:dyDescent="0.2">
      <c r="A15" t="s">
        <v>1457</v>
      </c>
      <c r="B15" t="s">
        <v>1445</v>
      </c>
      <c r="C15" t="s">
        <v>44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141</v>
      </c>
      <c r="N15">
        <v>90</v>
      </c>
      <c r="O15">
        <v>1048</v>
      </c>
      <c r="P15">
        <v>6</v>
      </c>
      <c r="Q15">
        <v>0</v>
      </c>
      <c r="R15">
        <v>0</v>
      </c>
      <c r="S15">
        <v>226.8</v>
      </c>
      <c r="T15">
        <v>0.24693520140105099</v>
      </c>
      <c r="V15">
        <v>11.6444444444444</v>
      </c>
      <c r="Y15">
        <v>185.8</v>
      </c>
    </row>
    <row r="16" spans="1:25" x14ac:dyDescent="0.2">
      <c r="A16" t="s">
        <v>1458</v>
      </c>
      <c r="B16" t="s">
        <v>1445</v>
      </c>
      <c r="C16" t="s">
        <v>44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2</v>
      </c>
      <c r="N16">
        <v>2</v>
      </c>
      <c r="O16">
        <v>24</v>
      </c>
      <c r="P16">
        <v>0</v>
      </c>
      <c r="Q16">
        <v>0</v>
      </c>
      <c r="R16">
        <v>0</v>
      </c>
      <c r="S16">
        <v>4.4000000000000004</v>
      </c>
      <c r="T16">
        <v>3.5026269702276699E-3</v>
      </c>
      <c r="V16">
        <v>12</v>
      </c>
      <c r="Y16">
        <v>3.4</v>
      </c>
    </row>
    <row r="17" spans="1:25" x14ac:dyDescent="0.2">
      <c r="A17" t="s">
        <v>1459</v>
      </c>
      <c r="B17" t="s">
        <v>1445</v>
      </c>
      <c r="C17" t="s">
        <v>44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10</v>
      </c>
      <c r="N17">
        <v>6</v>
      </c>
      <c r="O17">
        <v>42</v>
      </c>
      <c r="P17">
        <v>0</v>
      </c>
      <c r="Q17">
        <v>0</v>
      </c>
      <c r="R17">
        <v>0</v>
      </c>
      <c r="S17">
        <v>10.199999999999999</v>
      </c>
      <c r="T17">
        <v>1.7513134851138399E-2</v>
      </c>
      <c r="V17">
        <v>7</v>
      </c>
      <c r="Y17">
        <v>7.2</v>
      </c>
    </row>
    <row r="18" spans="1:25" x14ac:dyDescent="0.2">
      <c r="A18" t="s">
        <v>1460</v>
      </c>
      <c r="B18" t="s">
        <v>1445</v>
      </c>
      <c r="C18" t="s">
        <v>44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2</v>
      </c>
      <c r="K18">
        <v>5</v>
      </c>
      <c r="L18">
        <v>0</v>
      </c>
      <c r="M18">
        <v>42</v>
      </c>
      <c r="N18">
        <v>27</v>
      </c>
      <c r="O18">
        <v>387</v>
      </c>
      <c r="P18">
        <v>4</v>
      </c>
      <c r="Q18">
        <v>0</v>
      </c>
      <c r="R18">
        <v>0</v>
      </c>
      <c r="S18">
        <v>90.2</v>
      </c>
      <c r="T18">
        <v>7.35551663747811E-2</v>
      </c>
      <c r="U18">
        <v>2.5</v>
      </c>
      <c r="V18">
        <v>14.3333333333333</v>
      </c>
      <c r="Y18">
        <v>76.7</v>
      </c>
    </row>
    <row r="19" spans="1:25" x14ac:dyDescent="0.2">
      <c r="A19" t="s">
        <v>1461</v>
      </c>
      <c r="B19" t="s">
        <v>1445</v>
      </c>
      <c r="C19" t="s">
        <v>44</v>
      </c>
      <c r="D19">
        <v>3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4</v>
      </c>
      <c r="N19">
        <v>3</v>
      </c>
      <c r="O19">
        <v>20</v>
      </c>
      <c r="P19">
        <v>0</v>
      </c>
      <c r="Q19">
        <v>0</v>
      </c>
      <c r="R19">
        <v>0</v>
      </c>
      <c r="S19">
        <v>5</v>
      </c>
      <c r="T19">
        <v>7.0052539404553398E-3</v>
      </c>
      <c r="V19">
        <v>6.6666666666666696</v>
      </c>
      <c r="Y19">
        <v>3.5</v>
      </c>
    </row>
    <row r="20" spans="1:25" x14ac:dyDescent="0.2">
      <c r="A20" t="s">
        <v>1462</v>
      </c>
      <c r="B20" t="s">
        <v>1445</v>
      </c>
      <c r="C20" t="s">
        <v>44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117</v>
      </c>
      <c r="N20">
        <v>84</v>
      </c>
      <c r="O20">
        <v>1033</v>
      </c>
      <c r="P20">
        <v>9</v>
      </c>
      <c r="Q20">
        <v>0</v>
      </c>
      <c r="R20">
        <v>0</v>
      </c>
      <c r="S20">
        <v>239.3</v>
      </c>
      <c r="T20">
        <v>0.204903677758319</v>
      </c>
      <c r="V20">
        <v>12.297619047618999</v>
      </c>
      <c r="Y20">
        <v>199.3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1445</v>
      </c>
      <c r="B31">
        <v>6339</v>
      </c>
      <c r="C31">
        <v>4282</v>
      </c>
      <c r="D31">
        <v>422</v>
      </c>
      <c r="E31">
        <v>2057</v>
      </c>
      <c r="F31">
        <v>12</v>
      </c>
      <c r="G31">
        <v>1536.18</v>
      </c>
      <c r="H31">
        <v>573</v>
      </c>
      <c r="I31">
        <v>0.69633507853403098</v>
      </c>
      <c r="J31">
        <v>30</v>
      </c>
      <c r="K31">
        <v>12</v>
      </c>
      <c r="L31">
        <v>4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1463</v>
      </c>
      <c r="B36" t="s">
        <v>27</v>
      </c>
      <c r="C36">
        <v>23</v>
      </c>
      <c r="D36">
        <v>0</v>
      </c>
      <c r="E36" t="s">
        <v>215</v>
      </c>
      <c r="F36" t="s">
        <v>1445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1464</v>
      </c>
      <c r="B37" t="s">
        <v>27</v>
      </c>
      <c r="C37">
        <v>26</v>
      </c>
      <c r="D37">
        <v>4</v>
      </c>
      <c r="E37" t="s">
        <v>615</v>
      </c>
      <c r="F37" t="s">
        <v>1445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1465</v>
      </c>
      <c r="B38" t="s">
        <v>27</v>
      </c>
      <c r="C38">
        <v>32</v>
      </c>
      <c r="D38">
        <v>10</v>
      </c>
      <c r="E38" t="s">
        <v>345</v>
      </c>
      <c r="F38" t="s">
        <v>1445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1466</v>
      </c>
      <c r="B39" t="s">
        <v>32</v>
      </c>
      <c r="C39">
        <v>22</v>
      </c>
      <c r="D39">
        <v>0</v>
      </c>
      <c r="E39" t="s">
        <v>473</v>
      </c>
      <c r="F39" t="s">
        <v>1445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1467</v>
      </c>
      <c r="B40" t="s">
        <v>32</v>
      </c>
      <c r="C40">
        <v>24</v>
      </c>
      <c r="D40">
        <v>3</v>
      </c>
      <c r="E40" t="s">
        <v>398</v>
      </c>
      <c r="F40" t="s">
        <v>1445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1468</v>
      </c>
      <c r="B41" t="s">
        <v>32</v>
      </c>
      <c r="C41">
        <v>25</v>
      </c>
      <c r="D41">
        <v>0</v>
      </c>
      <c r="E41" t="s">
        <v>135</v>
      </c>
      <c r="F41" t="s">
        <v>1445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1469</v>
      </c>
      <c r="B42" t="s">
        <v>32</v>
      </c>
      <c r="C42">
        <v>23</v>
      </c>
      <c r="D42">
        <v>0</v>
      </c>
      <c r="E42" t="s">
        <v>171</v>
      </c>
      <c r="F42" t="s">
        <v>1445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1470</v>
      </c>
      <c r="B43" t="s">
        <v>32</v>
      </c>
      <c r="C43">
        <v>22</v>
      </c>
      <c r="D43">
        <v>0</v>
      </c>
      <c r="E43" t="s">
        <v>733</v>
      </c>
      <c r="F43" t="s">
        <v>1445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1471</v>
      </c>
      <c r="B44" t="s">
        <v>44</v>
      </c>
      <c r="C44">
        <v>24</v>
      </c>
      <c r="D44">
        <v>0</v>
      </c>
      <c r="E44" t="s">
        <v>473</v>
      </c>
      <c r="F44" t="s">
        <v>1445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1472</v>
      </c>
      <c r="B45" t="s">
        <v>44</v>
      </c>
      <c r="C45">
        <v>26</v>
      </c>
      <c r="D45">
        <v>2</v>
      </c>
      <c r="E45" t="s">
        <v>358</v>
      </c>
      <c r="F45" t="s">
        <v>1445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1473</v>
      </c>
      <c r="B46" t="s">
        <v>44</v>
      </c>
      <c r="C46">
        <v>25</v>
      </c>
      <c r="D46">
        <v>0</v>
      </c>
      <c r="E46" t="s">
        <v>1474</v>
      </c>
      <c r="F46" t="s">
        <v>1445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1475</v>
      </c>
      <c r="B47" t="s">
        <v>44</v>
      </c>
      <c r="C47">
        <v>25</v>
      </c>
      <c r="D47">
        <v>1</v>
      </c>
      <c r="E47" t="s">
        <v>742</v>
      </c>
      <c r="F47" t="s">
        <v>1445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1476</v>
      </c>
      <c r="B48" t="s">
        <v>44</v>
      </c>
      <c r="C48">
        <v>24</v>
      </c>
      <c r="D48">
        <v>0</v>
      </c>
      <c r="E48" t="s">
        <v>469</v>
      </c>
      <c r="F48" t="s">
        <v>1445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1477</v>
      </c>
      <c r="B49" t="s">
        <v>44</v>
      </c>
      <c r="C49">
        <v>24</v>
      </c>
      <c r="D49">
        <v>0</v>
      </c>
      <c r="E49" t="s">
        <v>108</v>
      </c>
      <c r="F49" t="s">
        <v>1445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1478</v>
      </c>
      <c r="B50" t="s">
        <v>44</v>
      </c>
      <c r="C50">
        <v>30</v>
      </c>
      <c r="D50">
        <v>8</v>
      </c>
      <c r="E50" t="s">
        <v>560</v>
      </c>
      <c r="F50" t="s">
        <v>1445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1479</v>
      </c>
      <c r="B51" t="s">
        <v>44</v>
      </c>
      <c r="C51">
        <v>25</v>
      </c>
      <c r="D51">
        <v>4</v>
      </c>
      <c r="E51" t="s">
        <v>239</v>
      </c>
      <c r="F51" t="s">
        <v>1445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1480</v>
      </c>
      <c r="B52" t="s">
        <v>44</v>
      </c>
      <c r="C52">
        <v>21</v>
      </c>
      <c r="D52">
        <v>0</v>
      </c>
      <c r="E52" t="s">
        <v>209</v>
      </c>
      <c r="F52" t="s">
        <v>1445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1481</v>
      </c>
      <c r="B53" t="s">
        <v>44</v>
      </c>
      <c r="C53">
        <v>27</v>
      </c>
      <c r="D53">
        <v>1</v>
      </c>
      <c r="E53" t="s">
        <v>135</v>
      </c>
      <c r="F53" t="s">
        <v>1445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1482</v>
      </c>
      <c r="B54" t="s">
        <v>44</v>
      </c>
      <c r="C54">
        <v>26</v>
      </c>
      <c r="D54">
        <v>1</v>
      </c>
      <c r="E54" t="s">
        <v>291</v>
      </c>
      <c r="F54" t="s">
        <v>1445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1483</v>
      </c>
      <c r="B55" t="s">
        <v>44</v>
      </c>
      <c r="C55">
        <v>24</v>
      </c>
      <c r="D55">
        <v>0</v>
      </c>
      <c r="E55" t="s">
        <v>1484</v>
      </c>
      <c r="F55" t="s">
        <v>1445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1485</v>
      </c>
      <c r="B56" t="s">
        <v>39</v>
      </c>
      <c r="C56">
        <v>27</v>
      </c>
      <c r="D56">
        <v>5</v>
      </c>
      <c r="E56" t="s">
        <v>85</v>
      </c>
      <c r="F56" t="s">
        <v>1445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1486</v>
      </c>
      <c r="B57" t="s">
        <v>39</v>
      </c>
      <c r="C57">
        <v>25</v>
      </c>
      <c r="D57">
        <v>4</v>
      </c>
      <c r="E57" t="s">
        <v>95</v>
      </c>
      <c r="F57" t="s">
        <v>1445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1487</v>
      </c>
      <c r="B58" t="s">
        <v>39</v>
      </c>
      <c r="C58">
        <v>24</v>
      </c>
      <c r="D58">
        <v>0</v>
      </c>
      <c r="E58" t="s">
        <v>556</v>
      </c>
      <c r="F58" t="s">
        <v>1445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1488</v>
      </c>
      <c r="B59" t="s">
        <v>39</v>
      </c>
      <c r="C59">
        <v>24</v>
      </c>
      <c r="D59">
        <v>0</v>
      </c>
      <c r="E59" t="s">
        <v>65</v>
      </c>
      <c r="F59" t="s">
        <v>1445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1489</v>
      </c>
      <c r="B60" t="s">
        <v>39</v>
      </c>
      <c r="C60">
        <v>26</v>
      </c>
      <c r="D60">
        <v>2</v>
      </c>
      <c r="E60" t="s">
        <v>227</v>
      </c>
      <c r="F60" t="s">
        <v>1445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1490</v>
      </c>
      <c r="B61" t="s">
        <v>39</v>
      </c>
      <c r="C61">
        <v>24</v>
      </c>
      <c r="D61">
        <v>3</v>
      </c>
      <c r="E61" t="s">
        <v>97</v>
      </c>
      <c r="F61" t="s">
        <v>1445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AB62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1491</v>
      </c>
      <c r="B2" t="s">
        <v>1492</v>
      </c>
      <c r="C2" t="s">
        <v>112</v>
      </c>
      <c r="D2">
        <v>13</v>
      </c>
      <c r="E2">
        <v>0</v>
      </c>
      <c r="F2">
        <v>0</v>
      </c>
      <c r="G2">
        <v>0</v>
      </c>
      <c r="H2">
        <v>0</v>
      </c>
      <c r="I2">
        <v>0</v>
      </c>
      <c r="J2">
        <v>7</v>
      </c>
      <c r="K2">
        <v>26</v>
      </c>
      <c r="L2">
        <v>1</v>
      </c>
      <c r="M2">
        <v>23</v>
      </c>
      <c r="N2">
        <v>19</v>
      </c>
      <c r="O2">
        <v>200</v>
      </c>
      <c r="P2">
        <v>1</v>
      </c>
      <c r="Q2">
        <v>0</v>
      </c>
      <c r="R2">
        <v>0</v>
      </c>
      <c r="S2">
        <v>53.6</v>
      </c>
      <c r="T2">
        <v>4.01396160558464E-2</v>
      </c>
      <c r="U2">
        <v>3.71428571428571</v>
      </c>
      <c r="V2">
        <v>10.526315789473699</v>
      </c>
      <c r="Y2">
        <v>44.1</v>
      </c>
    </row>
    <row r="3" spans="1:25" x14ac:dyDescent="0.2">
      <c r="A3" t="s">
        <v>1493</v>
      </c>
      <c r="B3" t="s">
        <v>1492</v>
      </c>
      <c r="C3" t="s">
        <v>27</v>
      </c>
      <c r="D3">
        <v>9</v>
      </c>
      <c r="E3">
        <v>170</v>
      </c>
      <c r="F3">
        <v>114</v>
      </c>
      <c r="G3">
        <v>1374</v>
      </c>
      <c r="H3">
        <v>13</v>
      </c>
      <c r="I3">
        <v>4</v>
      </c>
      <c r="J3">
        <v>22</v>
      </c>
      <c r="K3">
        <v>13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106.26</v>
      </c>
      <c r="T3">
        <v>0</v>
      </c>
      <c r="U3">
        <v>0.59090909090909105</v>
      </c>
      <c r="W3">
        <v>0.67058823529411804</v>
      </c>
      <c r="X3">
        <v>7.6470588235294096E-2</v>
      </c>
      <c r="Y3">
        <v>110.26</v>
      </c>
    </row>
    <row r="4" spans="1:25" x14ac:dyDescent="0.2">
      <c r="A4" t="s">
        <v>1494</v>
      </c>
      <c r="B4" t="s">
        <v>1492</v>
      </c>
      <c r="C4" t="s">
        <v>27</v>
      </c>
      <c r="D4">
        <v>11</v>
      </c>
      <c r="E4">
        <v>308</v>
      </c>
      <c r="F4">
        <v>207</v>
      </c>
      <c r="G4">
        <v>2437</v>
      </c>
      <c r="H4">
        <v>16</v>
      </c>
      <c r="I4">
        <v>4</v>
      </c>
      <c r="J4">
        <v>23</v>
      </c>
      <c r="K4">
        <v>33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0</v>
      </c>
      <c r="S4">
        <v>164.78</v>
      </c>
      <c r="T4">
        <v>0</v>
      </c>
      <c r="U4">
        <v>1.4347826086956501</v>
      </c>
      <c r="W4">
        <v>0.67207792207792205</v>
      </c>
      <c r="X4">
        <v>5.1948051948052E-2</v>
      </c>
      <c r="Y4">
        <v>168.78</v>
      </c>
    </row>
    <row r="5" spans="1:25" x14ac:dyDescent="0.2">
      <c r="A5" t="s">
        <v>1020</v>
      </c>
      <c r="B5" t="s">
        <v>1492</v>
      </c>
      <c r="C5" t="s">
        <v>27</v>
      </c>
      <c r="D5">
        <v>1</v>
      </c>
      <c r="E5">
        <v>2</v>
      </c>
      <c r="F5">
        <v>1</v>
      </c>
      <c r="G5">
        <v>10</v>
      </c>
      <c r="H5">
        <v>0</v>
      </c>
      <c r="I5">
        <v>0</v>
      </c>
      <c r="J5">
        <v>2</v>
      </c>
      <c r="K5">
        <v>3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0.7</v>
      </c>
      <c r="T5">
        <v>0</v>
      </c>
      <c r="U5">
        <v>1.5</v>
      </c>
      <c r="W5">
        <v>0.5</v>
      </c>
      <c r="X5">
        <v>0</v>
      </c>
      <c r="Y5">
        <v>0.7</v>
      </c>
    </row>
    <row r="6" spans="1:25" x14ac:dyDescent="0.2">
      <c r="A6" t="s">
        <v>1495</v>
      </c>
      <c r="B6" t="s">
        <v>1492</v>
      </c>
      <c r="C6" t="s">
        <v>27</v>
      </c>
      <c r="D6">
        <v>2</v>
      </c>
      <c r="E6">
        <v>31</v>
      </c>
      <c r="F6">
        <v>15</v>
      </c>
      <c r="G6">
        <v>194</v>
      </c>
      <c r="H6">
        <v>0</v>
      </c>
      <c r="I6">
        <v>1</v>
      </c>
      <c r="J6">
        <v>16</v>
      </c>
      <c r="K6">
        <v>67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12.46</v>
      </c>
      <c r="T6">
        <v>0</v>
      </c>
      <c r="U6">
        <v>4.1875</v>
      </c>
      <c r="W6">
        <v>0.483870967741935</v>
      </c>
      <c r="X6">
        <v>0</v>
      </c>
      <c r="Y6">
        <v>13.46</v>
      </c>
    </row>
    <row r="7" spans="1:25" x14ac:dyDescent="0.2">
      <c r="A7" t="s">
        <v>316</v>
      </c>
      <c r="B7" t="s">
        <v>1492</v>
      </c>
      <c r="C7" t="s">
        <v>32</v>
      </c>
      <c r="D7">
        <v>11</v>
      </c>
      <c r="E7">
        <v>1</v>
      </c>
      <c r="F7">
        <v>1</v>
      </c>
      <c r="G7">
        <v>34</v>
      </c>
      <c r="H7">
        <v>1</v>
      </c>
      <c r="I7">
        <v>0</v>
      </c>
      <c r="J7">
        <v>159</v>
      </c>
      <c r="K7">
        <v>746</v>
      </c>
      <c r="L7">
        <v>6</v>
      </c>
      <c r="M7">
        <v>65</v>
      </c>
      <c r="N7">
        <v>52</v>
      </c>
      <c r="O7">
        <v>464</v>
      </c>
      <c r="P7">
        <v>4</v>
      </c>
      <c r="Q7">
        <v>0</v>
      </c>
      <c r="R7">
        <v>0</v>
      </c>
      <c r="S7">
        <v>238.36</v>
      </c>
      <c r="T7">
        <v>0.113438045375218</v>
      </c>
      <c r="U7">
        <v>4.6918238993710704</v>
      </c>
      <c r="V7">
        <v>8.9230769230769198</v>
      </c>
      <c r="W7">
        <v>1</v>
      </c>
      <c r="X7">
        <v>1</v>
      </c>
      <c r="Y7">
        <v>207</v>
      </c>
    </row>
    <row r="8" spans="1:25" x14ac:dyDescent="0.2">
      <c r="A8" t="s">
        <v>1496</v>
      </c>
      <c r="B8" t="s">
        <v>1492</v>
      </c>
      <c r="C8" t="s">
        <v>32</v>
      </c>
      <c r="D8">
        <v>5</v>
      </c>
      <c r="E8">
        <v>0</v>
      </c>
      <c r="F8">
        <v>0</v>
      </c>
      <c r="G8">
        <v>0</v>
      </c>
      <c r="H8">
        <v>0</v>
      </c>
      <c r="I8">
        <v>0</v>
      </c>
      <c r="J8">
        <v>45</v>
      </c>
      <c r="K8">
        <v>279</v>
      </c>
      <c r="L8">
        <v>2</v>
      </c>
      <c r="M8">
        <v>4</v>
      </c>
      <c r="N8">
        <v>3</v>
      </c>
      <c r="O8">
        <v>7</v>
      </c>
      <c r="P8">
        <v>0</v>
      </c>
      <c r="Q8">
        <v>0</v>
      </c>
      <c r="R8">
        <v>0</v>
      </c>
      <c r="S8">
        <v>43.6</v>
      </c>
      <c r="T8">
        <v>6.9808027923211197E-3</v>
      </c>
      <c r="U8">
        <v>6.2</v>
      </c>
      <c r="V8">
        <v>2.3333333333333299</v>
      </c>
      <c r="Y8">
        <v>42.1</v>
      </c>
    </row>
    <row r="9" spans="1:25" x14ac:dyDescent="0.2">
      <c r="A9" t="s">
        <v>1497</v>
      </c>
      <c r="B9" t="s">
        <v>1492</v>
      </c>
      <c r="C9" t="s">
        <v>32</v>
      </c>
      <c r="D9">
        <v>8</v>
      </c>
      <c r="E9">
        <v>0</v>
      </c>
      <c r="F9">
        <v>0</v>
      </c>
      <c r="G9">
        <v>0</v>
      </c>
      <c r="H9">
        <v>0</v>
      </c>
      <c r="I9">
        <v>0</v>
      </c>
      <c r="J9">
        <v>43</v>
      </c>
      <c r="K9">
        <v>258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31.8</v>
      </c>
      <c r="T9">
        <v>0</v>
      </c>
      <c r="U9">
        <v>6</v>
      </c>
      <c r="Y9">
        <v>31.8</v>
      </c>
    </row>
    <row r="10" spans="1:25" x14ac:dyDescent="0.2">
      <c r="A10" t="s">
        <v>1074</v>
      </c>
      <c r="B10" t="s">
        <v>1492</v>
      </c>
      <c r="C10" t="s">
        <v>32</v>
      </c>
      <c r="D10">
        <v>8</v>
      </c>
      <c r="E10">
        <v>0</v>
      </c>
      <c r="F10">
        <v>0</v>
      </c>
      <c r="G10">
        <v>0</v>
      </c>
      <c r="H10">
        <v>0</v>
      </c>
      <c r="I10">
        <v>0</v>
      </c>
      <c r="J10">
        <v>92</v>
      </c>
      <c r="K10">
        <v>468</v>
      </c>
      <c r="L10">
        <v>2</v>
      </c>
      <c r="M10">
        <v>13</v>
      </c>
      <c r="N10">
        <v>10</v>
      </c>
      <c r="O10">
        <v>91</v>
      </c>
      <c r="P10">
        <v>0</v>
      </c>
      <c r="Q10">
        <v>1</v>
      </c>
      <c r="R10">
        <v>0</v>
      </c>
      <c r="S10">
        <v>73.900000000000006</v>
      </c>
      <c r="T10">
        <v>2.2687609075043601E-2</v>
      </c>
      <c r="U10">
        <v>5.0869565217391299</v>
      </c>
      <c r="V10">
        <v>9.1</v>
      </c>
      <c r="Y10">
        <v>70.900000000000006</v>
      </c>
    </row>
    <row r="11" spans="1:25" x14ac:dyDescent="0.2">
      <c r="A11" t="s">
        <v>1498</v>
      </c>
      <c r="B11" t="s">
        <v>1492</v>
      </c>
      <c r="C11" t="s">
        <v>32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12</v>
      </c>
      <c r="K11">
        <v>26</v>
      </c>
      <c r="L11">
        <v>1</v>
      </c>
      <c r="M11">
        <v>3</v>
      </c>
      <c r="N11">
        <v>3</v>
      </c>
      <c r="O11">
        <v>44</v>
      </c>
      <c r="P11">
        <v>1</v>
      </c>
      <c r="Q11">
        <v>0</v>
      </c>
      <c r="R11">
        <v>0</v>
      </c>
      <c r="S11">
        <v>22</v>
      </c>
      <c r="T11">
        <v>5.2356020942408397E-3</v>
      </c>
      <c r="U11">
        <v>2.1666666666666701</v>
      </c>
      <c r="V11">
        <v>14.6666666666667</v>
      </c>
      <c r="Y11">
        <v>20.5</v>
      </c>
    </row>
    <row r="12" spans="1:25" x14ac:dyDescent="0.2">
      <c r="A12" t="s">
        <v>1499</v>
      </c>
      <c r="B12" t="s">
        <v>1492</v>
      </c>
      <c r="C12" t="s">
        <v>32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34</v>
      </c>
      <c r="K12">
        <v>99</v>
      </c>
      <c r="L12">
        <v>0</v>
      </c>
      <c r="M12">
        <v>2</v>
      </c>
      <c r="N12">
        <v>0</v>
      </c>
      <c r="O12">
        <v>0</v>
      </c>
      <c r="P12">
        <v>0</v>
      </c>
      <c r="Q12">
        <v>0</v>
      </c>
      <c r="R12">
        <v>0</v>
      </c>
      <c r="S12">
        <v>9.9</v>
      </c>
      <c r="T12">
        <v>3.4904013961605598E-3</v>
      </c>
      <c r="U12">
        <v>2.9117647058823501</v>
      </c>
      <c r="Y12">
        <v>9.9</v>
      </c>
    </row>
    <row r="13" spans="1:25" x14ac:dyDescent="0.2">
      <c r="A13" t="s">
        <v>1500</v>
      </c>
      <c r="B13" t="s">
        <v>1492</v>
      </c>
      <c r="C13" t="s">
        <v>39</v>
      </c>
      <c r="D13">
        <v>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3.4904013961605598E-3</v>
      </c>
      <c r="Y13">
        <v>0</v>
      </c>
    </row>
    <row r="14" spans="1:25" x14ac:dyDescent="0.2">
      <c r="A14" t="s">
        <v>1501</v>
      </c>
      <c r="B14" t="s">
        <v>1492</v>
      </c>
      <c r="C14" t="s">
        <v>39</v>
      </c>
      <c r="D14">
        <v>15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86</v>
      </c>
      <c r="N14">
        <v>60</v>
      </c>
      <c r="O14">
        <v>765</v>
      </c>
      <c r="P14">
        <v>11</v>
      </c>
      <c r="Q14">
        <v>0</v>
      </c>
      <c r="R14">
        <v>0</v>
      </c>
      <c r="S14">
        <v>200.5</v>
      </c>
      <c r="T14">
        <v>0.150087260034904</v>
      </c>
      <c r="V14">
        <v>12.75</v>
      </c>
      <c r="Y14">
        <v>172.5</v>
      </c>
    </row>
    <row r="15" spans="1:25" x14ac:dyDescent="0.2">
      <c r="A15" t="s">
        <v>1502</v>
      </c>
      <c r="B15" t="s">
        <v>1492</v>
      </c>
      <c r="C15" t="s">
        <v>39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105</v>
      </c>
      <c r="P15">
        <v>1</v>
      </c>
      <c r="Q15">
        <v>0</v>
      </c>
      <c r="R15">
        <v>0</v>
      </c>
      <c r="S15">
        <v>19.5</v>
      </c>
      <c r="T15">
        <v>8.7260034904013996E-3</v>
      </c>
      <c r="V15">
        <v>35</v>
      </c>
      <c r="Y15">
        <v>18</v>
      </c>
    </row>
    <row r="16" spans="1:25" x14ac:dyDescent="0.2">
      <c r="A16" t="s">
        <v>1503</v>
      </c>
      <c r="B16" t="s">
        <v>1492</v>
      </c>
      <c r="C16" t="s">
        <v>39</v>
      </c>
      <c r="D16">
        <v>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5</v>
      </c>
      <c r="N16">
        <v>4</v>
      </c>
      <c r="O16">
        <v>57</v>
      </c>
      <c r="P16">
        <v>0</v>
      </c>
      <c r="Q16">
        <v>0</v>
      </c>
      <c r="R16">
        <v>0</v>
      </c>
      <c r="S16">
        <v>9.6999999999999993</v>
      </c>
      <c r="T16">
        <v>8.7260034904013996E-3</v>
      </c>
      <c r="V16">
        <v>14.25</v>
      </c>
      <c r="Y16">
        <v>7.7</v>
      </c>
    </row>
    <row r="17" spans="1:25" x14ac:dyDescent="0.2">
      <c r="A17" t="s">
        <v>1504</v>
      </c>
      <c r="B17" t="s">
        <v>1492</v>
      </c>
      <c r="C17" t="s">
        <v>44</v>
      </c>
      <c r="D17">
        <v>17</v>
      </c>
      <c r="E17">
        <v>0</v>
      </c>
      <c r="F17">
        <v>0</v>
      </c>
      <c r="G17">
        <v>0</v>
      </c>
      <c r="H17">
        <v>0</v>
      </c>
      <c r="I17">
        <v>0</v>
      </c>
      <c r="J17">
        <v>2</v>
      </c>
      <c r="K17">
        <v>23</v>
      </c>
      <c r="L17">
        <v>0</v>
      </c>
      <c r="M17">
        <v>114</v>
      </c>
      <c r="N17">
        <v>78</v>
      </c>
      <c r="O17">
        <v>1015</v>
      </c>
      <c r="P17">
        <v>8</v>
      </c>
      <c r="Q17">
        <v>0</v>
      </c>
      <c r="R17">
        <v>0</v>
      </c>
      <c r="S17">
        <v>227.8</v>
      </c>
      <c r="T17">
        <v>0.19895287958115199</v>
      </c>
      <c r="U17">
        <v>11.5</v>
      </c>
      <c r="V17">
        <v>13.0128205128205</v>
      </c>
      <c r="Y17">
        <v>190.8</v>
      </c>
    </row>
    <row r="18" spans="1:25" x14ac:dyDescent="0.2">
      <c r="A18" t="s">
        <v>1505</v>
      </c>
      <c r="B18" t="s">
        <v>1492</v>
      </c>
      <c r="C18" t="s">
        <v>44</v>
      </c>
      <c r="D18">
        <v>5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9</v>
      </c>
      <c r="L18">
        <v>0</v>
      </c>
      <c r="M18">
        <v>7</v>
      </c>
      <c r="N18">
        <v>1</v>
      </c>
      <c r="O18">
        <v>10</v>
      </c>
      <c r="P18">
        <v>0</v>
      </c>
      <c r="Q18">
        <v>0</v>
      </c>
      <c r="R18">
        <v>0</v>
      </c>
      <c r="S18">
        <v>2.9</v>
      </c>
      <c r="T18">
        <v>1.2216404886561999E-2</v>
      </c>
      <c r="U18">
        <v>9</v>
      </c>
      <c r="V18">
        <v>10</v>
      </c>
      <c r="Y18">
        <v>2.4</v>
      </c>
    </row>
    <row r="19" spans="1:25" x14ac:dyDescent="0.2">
      <c r="A19" t="s">
        <v>1506</v>
      </c>
      <c r="B19" t="s">
        <v>1492</v>
      </c>
      <c r="C19" t="s">
        <v>44</v>
      </c>
      <c r="D19">
        <v>13</v>
      </c>
      <c r="E19">
        <v>0</v>
      </c>
      <c r="F19">
        <v>0</v>
      </c>
      <c r="G19">
        <v>0</v>
      </c>
      <c r="H19">
        <v>0</v>
      </c>
      <c r="I19">
        <v>0</v>
      </c>
      <c r="J19">
        <v>42</v>
      </c>
      <c r="K19">
        <v>232</v>
      </c>
      <c r="L19">
        <v>3</v>
      </c>
      <c r="M19">
        <v>94</v>
      </c>
      <c r="N19">
        <v>56</v>
      </c>
      <c r="O19">
        <v>632</v>
      </c>
      <c r="P19">
        <v>2</v>
      </c>
      <c r="Q19">
        <v>2</v>
      </c>
      <c r="R19">
        <v>0</v>
      </c>
      <c r="S19">
        <v>168.4</v>
      </c>
      <c r="T19">
        <v>0.16404886561954601</v>
      </c>
      <c r="U19">
        <v>5.5238095238095202</v>
      </c>
      <c r="V19">
        <v>11.285714285714301</v>
      </c>
      <c r="Y19">
        <v>140.4</v>
      </c>
    </row>
    <row r="20" spans="1:25" x14ac:dyDescent="0.2">
      <c r="A20" t="s">
        <v>1507</v>
      </c>
      <c r="B20" t="s">
        <v>1492</v>
      </c>
      <c r="C20" t="s">
        <v>44</v>
      </c>
      <c r="D20">
        <v>16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56</v>
      </c>
      <c r="N20">
        <v>35</v>
      </c>
      <c r="O20">
        <v>416</v>
      </c>
      <c r="P20">
        <v>1</v>
      </c>
      <c r="Q20">
        <v>0</v>
      </c>
      <c r="R20">
        <v>0</v>
      </c>
      <c r="S20">
        <v>82.6</v>
      </c>
      <c r="T20">
        <v>9.7731239092495606E-2</v>
      </c>
      <c r="V20">
        <v>11.8857142857143</v>
      </c>
      <c r="Y20">
        <v>65.099999999999994</v>
      </c>
    </row>
    <row r="21" spans="1:25" x14ac:dyDescent="0.2">
      <c r="A21" t="s">
        <v>1508</v>
      </c>
      <c r="B21" t="s">
        <v>1492</v>
      </c>
      <c r="C21" t="s">
        <v>44</v>
      </c>
      <c r="D21">
        <v>14</v>
      </c>
      <c r="E21">
        <v>0</v>
      </c>
      <c r="F21">
        <v>0</v>
      </c>
      <c r="G21">
        <v>0</v>
      </c>
      <c r="H21">
        <v>0</v>
      </c>
      <c r="I21">
        <v>0</v>
      </c>
      <c r="J21">
        <v>4</v>
      </c>
      <c r="K21">
        <v>78</v>
      </c>
      <c r="L21">
        <v>1</v>
      </c>
      <c r="M21">
        <v>25</v>
      </c>
      <c r="N21">
        <v>14</v>
      </c>
      <c r="O21">
        <v>243</v>
      </c>
      <c r="P21">
        <v>1</v>
      </c>
      <c r="Q21">
        <v>0</v>
      </c>
      <c r="R21">
        <v>0</v>
      </c>
      <c r="S21">
        <v>58.1</v>
      </c>
      <c r="T21">
        <v>4.3630017452007001E-2</v>
      </c>
      <c r="U21">
        <v>19.5</v>
      </c>
      <c r="V21">
        <v>17.3571428571429</v>
      </c>
      <c r="Y21">
        <v>51.1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1492</v>
      </c>
      <c r="B31">
        <v>6409</v>
      </c>
      <c r="C31">
        <v>4049</v>
      </c>
      <c r="D31">
        <v>504</v>
      </c>
      <c r="E31">
        <v>2360</v>
      </c>
      <c r="F31">
        <v>20</v>
      </c>
      <c r="G31">
        <v>1526.86</v>
      </c>
      <c r="H31">
        <v>512</v>
      </c>
      <c r="I31">
        <v>0.66015625</v>
      </c>
      <c r="J31">
        <v>30</v>
      </c>
      <c r="K31">
        <v>9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1509</v>
      </c>
      <c r="B36" t="s">
        <v>27</v>
      </c>
      <c r="C36">
        <v>30</v>
      </c>
      <c r="D36">
        <v>6</v>
      </c>
      <c r="E36" t="s">
        <v>173</v>
      </c>
      <c r="F36" t="s">
        <v>1492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1510</v>
      </c>
      <c r="B37" t="s">
        <v>27</v>
      </c>
      <c r="C37">
        <v>26</v>
      </c>
      <c r="D37">
        <v>5</v>
      </c>
      <c r="E37" t="s">
        <v>79</v>
      </c>
      <c r="F37" t="s">
        <v>1492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1511</v>
      </c>
      <c r="B38" t="s">
        <v>27</v>
      </c>
      <c r="C38">
        <v>23</v>
      </c>
      <c r="D38">
        <v>2</v>
      </c>
      <c r="E38" t="s">
        <v>556</v>
      </c>
      <c r="F38" t="s">
        <v>1492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1512</v>
      </c>
      <c r="B39" t="s">
        <v>27</v>
      </c>
      <c r="C39">
        <v>23</v>
      </c>
      <c r="D39">
        <v>0</v>
      </c>
      <c r="E39" t="s">
        <v>243</v>
      </c>
      <c r="F39" t="s">
        <v>1492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1513</v>
      </c>
      <c r="B40" t="s">
        <v>32</v>
      </c>
      <c r="C40">
        <v>25</v>
      </c>
      <c r="D40">
        <v>0</v>
      </c>
      <c r="E40" t="s">
        <v>718</v>
      </c>
      <c r="F40" t="s">
        <v>1492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1514</v>
      </c>
      <c r="B41" t="s">
        <v>32</v>
      </c>
      <c r="C41">
        <v>22</v>
      </c>
      <c r="D41">
        <v>0</v>
      </c>
      <c r="E41" t="s">
        <v>222</v>
      </c>
      <c r="F41" t="s">
        <v>1492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1515</v>
      </c>
      <c r="B42" t="s">
        <v>32</v>
      </c>
      <c r="C42">
        <v>24</v>
      </c>
      <c r="D42">
        <v>0</v>
      </c>
      <c r="E42" t="s">
        <v>1516</v>
      </c>
      <c r="F42" t="s">
        <v>1492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1517</v>
      </c>
      <c r="B43" t="s">
        <v>32</v>
      </c>
      <c r="C43">
        <v>24</v>
      </c>
      <c r="D43">
        <v>0</v>
      </c>
      <c r="E43" t="s">
        <v>457</v>
      </c>
      <c r="F43" t="s">
        <v>1492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1518</v>
      </c>
      <c r="B44" t="s">
        <v>32</v>
      </c>
      <c r="C44">
        <v>27</v>
      </c>
      <c r="D44">
        <v>6</v>
      </c>
      <c r="E44" t="s">
        <v>97</v>
      </c>
      <c r="F44" t="s">
        <v>1492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1519</v>
      </c>
      <c r="B45" t="s">
        <v>32</v>
      </c>
      <c r="C45">
        <v>25</v>
      </c>
      <c r="D45">
        <v>2</v>
      </c>
      <c r="E45" t="s">
        <v>575</v>
      </c>
      <c r="F45" t="s">
        <v>1492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1520</v>
      </c>
      <c r="B46" t="s">
        <v>44</v>
      </c>
      <c r="C46">
        <v>25</v>
      </c>
      <c r="D46">
        <v>3</v>
      </c>
      <c r="E46" t="s">
        <v>155</v>
      </c>
      <c r="F46" t="s">
        <v>1492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1521</v>
      </c>
      <c r="B47" t="s">
        <v>44</v>
      </c>
      <c r="C47">
        <v>23</v>
      </c>
      <c r="D47">
        <v>0</v>
      </c>
      <c r="E47" t="s">
        <v>100</v>
      </c>
      <c r="F47" t="s">
        <v>1492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1522</v>
      </c>
      <c r="B48" t="s">
        <v>44</v>
      </c>
      <c r="C48">
        <v>30</v>
      </c>
      <c r="D48">
        <v>8</v>
      </c>
      <c r="E48" t="s">
        <v>171</v>
      </c>
      <c r="F48" t="s">
        <v>1492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1523</v>
      </c>
      <c r="B49" t="s">
        <v>44</v>
      </c>
      <c r="C49">
        <v>24</v>
      </c>
      <c r="D49">
        <v>0</v>
      </c>
      <c r="E49" t="s">
        <v>234</v>
      </c>
      <c r="F49" t="s">
        <v>1492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1524</v>
      </c>
      <c r="B50" t="s">
        <v>44</v>
      </c>
      <c r="C50">
        <v>26</v>
      </c>
      <c r="D50">
        <v>2</v>
      </c>
      <c r="E50" t="s">
        <v>141</v>
      </c>
      <c r="F50" t="s">
        <v>1492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1525</v>
      </c>
      <c r="B51" t="s">
        <v>44</v>
      </c>
      <c r="C51">
        <v>25</v>
      </c>
      <c r="D51">
        <v>0</v>
      </c>
      <c r="E51" t="s">
        <v>213</v>
      </c>
      <c r="F51" t="s">
        <v>1492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1526</v>
      </c>
      <c r="B52" t="s">
        <v>44</v>
      </c>
      <c r="C52">
        <v>26</v>
      </c>
      <c r="D52">
        <v>5</v>
      </c>
      <c r="E52" t="s">
        <v>460</v>
      </c>
      <c r="F52" t="s">
        <v>1492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1527</v>
      </c>
      <c r="B53" t="s">
        <v>44</v>
      </c>
      <c r="C53">
        <v>24</v>
      </c>
      <c r="D53">
        <v>1</v>
      </c>
      <c r="E53" t="s">
        <v>163</v>
      </c>
      <c r="F53" t="s">
        <v>1492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1528</v>
      </c>
      <c r="B54" t="s">
        <v>44</v>
      </c>
      <c r="C54">
        <v>27</v>
      </c>
      <c r="D54">
        <v>4</v>
      </c>
      <c r="E54" t="s">
        <v>342</v>
      </c>
      <c r="F54" t="s">
        <v>1492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1529</v>
      </c>
      <c r="B55" t="s">
        <v>44</v>
      </c>
      <c r="C55">
        <v>30</v>
      </c>
      <c r="D55">
        <v>8</v>
      </c>
      <c r="E55" t="s">
        <v>139</v>
      </c>
      <c r="F55" t="s">
        <v>1492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1530</v>
      </c>
      <c r="B56" t="s">
        <v>44</v>
      </c>
      <c r="C56">
        <v>23</v>
      </c>
      <c r="D56">
        <v>0</v>
      </c>
      <c r="E56" t="s">
        <v>215</v>
      </c>
      <c r="F56" t="s">
        <v>1492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1531</v>
      </c>
      <c r="B57" t="s">
        <v>39</v>
      </c>
      <c r="C57">
        <v>28</v>
      </c>
      <c r="D57">
        <v>4</v>
      </c>
      <c r="E57" t="s">
        <v>207</v>
      </c>
      <c r="F57" t="s">
        <v>1492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1532</v>
      </c>
      <c r="B58" t="s">
        <v>39</v>
      </c>
      <c r="C58">
        <v>28</v>
      </c>
      <c r="D58">
        <v>5</v>
      </c>
      <c r="E58" t="s">
        <v>73</v>
      </c>
      <c r="F58" t="s">
        <v>1492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1533</v>
      </c>
      <c r="B59" t="s">
        <v>39</v>
      </c>
      <c r="C59">
        <v>29</v>
      </c>
      <c r="D59">
        <v>6</v>
      </c>
      <c r="E59" t="s">
        <v>95</v>
      </c>
      <c r="F59" t="s">
        <v>1492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1534</v>
      </c>
      <c r="B60" t="s">
        <v>39</v>
      </c>
      <c r="C60">
        <v>23</v>
      </c>
      <c r="D60">
        <v>0</v>
      </c>
      <c r="E60" t="s">
        <v>153</v>
      </c>
      <c r="F60" t="s">
        <v>1492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1535</v>
      </c>
      <c r="B61" t="s">
        <v>39</v>
      </c>
      <c r="C61">
        <v>23</v>
      </c>
      <c r="D61">
        <v>0</v>
      </c>
      <c r="E61" t="s">
        <v>69</v>
      </c>
      <c r="F61" t="s">
        <v>1492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1536</v>
      </c>
      <c r="B62" t="s">
        <v>39</v>
      </c>
      <c r="C62">
        <v>25</v>
      </c>
      <c r="D62">
        <v>3</v>
      </c>
      <c r="E62" t="s">
        <v>171</v>
      </c>
      <c r="F62" t="s">
        <v>1492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AB61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1537</v>
      </c>
      <c r="B2" t="s">
        <v>1538</v>
      </c>
      <c r="C2" t="s">
        <v>27</v>
      </c>
      <c r="D2">
        <v>1</v>
      </c>
      <c r="E2">
        <v>8</v>
      </c>
      <c r="F2">
        <v>6</v>
      </c>
      <c r="G2">
        <v>29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5.16</v>
      </c>
      <c r="T2">
        <v>0</v>
      </c>
      <c r="W2">
        <v>0.75</v>
      </c>
      <c r="X2">
        <v>0.125</v>
      </c>
      <c r="Y2">
        <v>5.16</v>
      </c>
    </row>
    <row r="3" spans="1:25" x14ac:dyDescent="0.2">
      <c r="A3" t="s">
        <v>1539</v>
      </c>
      <c r="B3" t="s">
        <v>1538</v>
      </c>
      <c r="C3" t="s">
        <v>27</v>
      </c>
      <c r="D3">
        <v>1</v>
      </c>
      <c r="E3">
        <v>9</v>
      </c>
      <c r="F3">
        <v>3</v>
      </c>
      <c r="G3">
        <v>23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0.92</v>
      </c>
      <c r="T3">
        <v>0</v>
      </c>
      <c r="W3">
        <v>0.33333333333333298</v>
      </c>
      <c r="X3">
        <v>0</v>
      </c>
      <c r="Y3">
        <v>0.92</v>
      </c>
    </row>
    <row r="4" spans="1:25" x14ac:dyDescent="0.2">
      <c r="A4" t="s">
        <v>1540</v>
      </c>
      <c r="B4" t="s">
        <v>1538</v>
      </c>
      <c r="C4" t="s">
        <v>27</v>
      </c>
      <c r="D4">
        <v>17</v>
      </c>
      <c r="E4">
        <v>733</v>
      </c>
      <c r="F4">
        <v>490</v>
      </c>
      <c r="G4">
        <v>4694</v>
      </c>
      <c r="H4">
        <v>25</v>
      </c>
      <c r="I4">
        <v>9</v>
      </c>
      <c r="J4">
        <v>29</v>
      </c>
      <c r="K4">
        <v>-1</v>
      </c>
      <c r="L4">
        <v>1</v>
      </c>
      <c r="M4">
        <v>1</v>
      </c>
      <c r="N4">
        <v>0</v>
      </c>
      <c r="O4">
        <v>0</v>
      </c>
      <c r="P4">
        <v>0</v>
      </c>
      <c r="Q4">
        <v>4</v>
      </c>
      <c r="R4">
        <v>2</v>
      </c>
      <c r="S4">
        <v>271.66000000000003</v>
      </c>
      <c r="T4">
        <v>1.953125E-3</v>
      </c>
      <c r="U4">
        <v>-3.4482758620689703E-2</v>
      </c>
      <c r="W4">
        <v>0.66848567530695802</v>
      </c>
      <c r="X4">
        <v>3.4106412005456999E-2</v>
      </c>
      <c r="Y4">
        <v>280.66000000000003</v>
      </c>
    </row>
    <row r="5" spans="1:25" x14ac:dyDescent="0.2">
      <c r="A5" t="s">
        <v>1541</v>
      </c>
      <c r="B5" t="s">
        <v>1538</v>
      </c>
      <c r="C5" t="s">
        <v>32</v>
      </c>
      <c r="D5">
        <v>2</v>
      </c>
      <c r="E5">
        <v>0</v>
      </c>
      <c r="F5">
        <v>0</v>
      </c>
      <c r="G5">
        <v>0</v>
      </c>
      <c r="H5">
        <v>0</v>
      </c>
      <c r="I5">
        <v>0</v>
      </c>
      <c r="J5">
        <v>8</v>
      </c>
      <c r="K5">
        <v>28</v>
      </c>
      <c r="L5">
        <v>0</v>
      </c>
      <c r="M5">
        <v>2</v>
      </c>
      <c r="N5">
        <v>2</v>
      </c>
      <c r="O5">
        <v>-1</v>
      </c>
      <c r="P5">
        <v>0</v>
      </c>
      <c r="Q5">
        <v>0</v>
      </c>
      <c r="R5">
        <v>0</v>
      </c>
      <c r="S5">
        <v>4.7</v>
      </c>
      <c r="T5">
        <v>3.90625E-3</v>
      </c>
      <c r="U5">
        <v>3.5</v>
      </c>
      <c r="V5">
        <v>-0.5</v>
      </c>
      <c r="Y5">
        <v>3.7</v>
      </c>
    </row>
    <row r="6" spans="1:25" x14ac:dyDescent="0.2">
      <c r="A6" t="s">
        <v>1542</v>
      </c>
      <c r="B6" t="s">
        <v>1538</v>
      </c>
      <c r="C6" t="s">
        <v>32</v>
      </c>
      <c r="D6">
        <v>5</v>
      </c>
      <c r="E6">
        <v>0</v>
      </c>
      <c r="F6">
        <v>0</v>
      </c>
      <c r="G6">
        <v>0</v>
      </c>
      <c r="H6">
        <v>0</v>
      </c>
      <c r="I6">
        <v>0</v>
      </c>
      <c r="J6">
        <v>17</v>
      </c>
      <c r="K6">
        <v>53</v>
      </c>
      <c r="L6">
        <v>0</v>
      </c>
      <c r="M6">
        <v>4</v>
      </c>
      <c r="N6">
        <v>3</v>
      </c>
      <c r="O6">
        <v>19</v>
      </c>
      <c r="P6">
        <v>0</v>
      </c>
      <c r="Q6">
        <v>0</v>
      </c>
      <c r="R6">
        <v>0</v>
      </c>
      <c r="S6">
        <v>10.199999999999999</v>
      </c>
      <c r="T6">
        <v>7.8125E-3</v>
      </c>
      <c r="U6">
        <v>3.1176470588235299</v>
      </c>
      <c r="V6">
        <v>6.3333333333333304</v>
      </c>
      <c r="Y6">
        <v>8.6999999999999993</v>
      </c>
    </row>
    <row r="7" spans="1:25" x14ac:dyDescent="0.2">
      <c r="A7" t="s">
        <v>1543</v>
      </c>
      <c r="B7" t="s">
        <v>1538</v>
      </c>
      <c r="C7" t="s">
        <v>32</v>
      </c>
      <c r="D7">
        <v>16</v>
      </c>
      <c r="E7">
        <v>1</v>
      </c>
      <c r="F7">
        <v>0</v>
      </c>
      <c r="G7">
        <v>0</v>
      </c>
      <c r="H7">
        <v>0</v>
      </c>
      <c r="I7">
        <v>1</v>
      </c>
      <c r="J7">
        <v>189</v>
      </c>
      <c r="K7">
        <v>668</v>
      </c>
      <c r="L7">
        <v>3</v>
      </c>
      <c r="M7">
        <v>83</v>
      </c>
      <c r="N7">
        <v>73</v>
      </c>
      <c r="O7">
        <v>523</v>
      </c>
      <c r="P7">
        <v>3</v>
      </c>
      <c r="Q7">
        <v>0</v>
      </c>
      <c r="R7">
        <v>0</v>
      </c>
      <c r="S7">
        <v>226.1</v>
      </c>
      <c r="T7">
        <v>0.162109375</v>
      </c>
      <c r="U7">
        <v>3.53439153439153</v>
      </c>
      <c r="V7">
        <v>7.1643835616438398</v>
      </c>
      <c r="W7">
        <v>0</v>
      </c>
      <c r="X7">
        <v>0</v>
      </c>
      <c r="Y7">
        <v>191.6</v>
      </c>
    </row>
    <row r="8" spans="1:25" x14ac:dyDescent="0.2">
      <c r="A8" t="s">
        <v>1544</v>
      </c>
      <c r="B8" t="s">
        <v>1538</v>
      </c>
      <c r="C8" t="s">
        <v>32</v>
      </c>
      <c r="D8">
        <v>16</v>
      </c>
      <c r="E8">
        <v>0</v>
      </c>
      <c r="F8">
        <v>0</v>
      </c>
      <c r="G8">
        <v>0</v>
      </c>
      <c r="H8">
        <v>0</v>
      </c>
      <c r="I8">
        <v>0</v>
      </c>
      <c r="J8">
        <v>129</v>
      </c>
      <c r="K8">
        <v>481</v>
      </c>
      <c r="L8">
        <v>1</v>
      </c>
      <c r="M8">
        <v>58</v>
      </c>
      <c r="N8">
        <v>50</v>
      </c>
      <c r="O8">
        <v>290</v>
      </c>
      <c r="P8">
        <v>2</v>
      </c>
      <c r="Q8">
        <v>1</v>
      </c>
      <c r="R8">
        <v>0</v>
      </c>
      <c r="S8">
        <v>141.1</v>
      </c>
      <c r="T8">
        <v>0.11328125</v>
      </c>
      <c r="U8">
        <v>3.7286821705426401</v>
      </c>
      <c r="V8">
        <v>5.8</v>
      </c>
      <c r="Y8">
        <v>118.1</v>
      </c>
    </row>
    <row r="9" spans="1:25" x14ac:dyDescent="0.2">
      <c r="A9" t="s">
        <v>1545</v>
      </c>
      <c r="B9" t="s">
        <v>1538</v>
      </c>
      <c r="C9" t="s">
        <v>39</v>
      </c>
      <c r="D9">
        <v>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38</v>
      </c>
      <c r="N9">
        <v>20</v>
      </c>
      <c r="O9">
        <v>174</v>
      </c>
      <c r="P9">
        <v>0</v>
      </c>
      <c r="Q9">
        <v>0</v>
      </c>
      <c r="R9">
        <v>0</v>
      </c>
      <c r="S9">
        <v>37.4</v>
      </c>
      <c r="T9">
        <v>7.421875E-2</v>
      </c>
      <c r="V9">
        <v>8.6999999999999993</v>
      </c>
      <c r="Y9">
        <v>27.4</v>
      </c>
    </row>
    <row r="10" spans="1:25" x14ac:dyDescent="0.2">
      <c r="A10" t="s">
        <v>1546</v>
      </c>
      <c r="B10" t="s">
        <v>1538</v>
      </c>
      <c r="C10" t="s">
        <v>39</v>
      </c>
      <c r="D10">
        <v>14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65</v>
      </c>
      <c r="N10">
        <v>42</v>
      </c>
      <c r="O10">
        <v>391</v>
      </c>
      <c r="P10">
        <v>2</v>
      </c>
      <c r="Q10">
        <v>0</v>
      </c>
      <c r="R10">
        <v>0</v>
      </c>
      <c r="S10">
        <v>93.1</v>
      </c>
      <c r="T10">
        <v>0.126953125</v>
      </c>
      <c r="V10">
        <v>9.3095238095238102</v>
      </c>
      <c r="Y10">
        <v>72.099999999999994</v>
      </c>
    </row>
    <row r="11" spans="1:25" x14ac:dyDescent="0.2">
      <c r="A11" t="s">
        <v>1547</v>
      </c>
      <c r="B11" t="s">
        <v>1538</v>
      </c>
      <c r="C11" t="s">
        <v>39</v>
      </c>
      <c r="D11">
        <v>8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10</v>
      </c>
      <c r="N11">
        <v>7</v>
      </c>
      <c r="O11">
        <v>80</v>
      </c>
      <c r="P11">
        <v>1</v>
      </c>
      <c r="Q11">
        <v>0</v>
      </c>
      <c r="R11">
        <v>0</v>
      </c>
      <c r="S11">
        <v>21</v>
      </c>
      <c r="T11">
        <v>1.953125E-2</v>
      </c>
      <c r="V11">
        <v>11.4285714285714</v>
      </c>
      <c r="Y11">
        <v>17.5</v>
      </c>
    </row>
    <row r="12" spans="1:25" x14ac:dyDescent="0.2">
      <c r="A12" t="s">
        <v>1548</v>
      </c>
      <c r="B12" t="s">
        <v>1538</v>
      </c>
      <c r="C12" t="s">
        <v>39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5</v>
      </c>
      <c r="N12">
        <v>3</v>
      </c>
      <c r="O12">
        <v>28</v>
      </c>
      <c r="P12">
        <v>1</v>
      </c>
      <c r="Q12">
        <v>0</v>
      </c>
      <c r="R12">
        <v>0</v>
      </c>
      <c r="S12">
        <v>11.8</v>
      </c>
      <c r="T12">
        <v>9.765625E-3</v>
      </c>
      <c r="V12">
        <v>9.3333333333333304</v>
      </c>
      <c r="Y12">
        <v>10.3</v>
      </c>
    </row>
    <row r="13" spans="1:25" x14ac:dyDescent="0.2">
      <c r="A13" t="s">
        <v>1549</v>
      </c>
      <c r="B13" t="s">
        <v>1538</v>
      </c>
      <c r="C13" t="s">
        <v>44</v>
      </c>
      <c r="D13">
        <v>8</v>
      </c>
      <c r="E13">
        <v>0</v>
      </c>
      <c r="F13">
        <v>0</v>
      </c>
      <c r="G13">
        <v>0</v>
      </c>
      <c r="H13">
        <v>0</v>
      </c>
      <c r="I13">
        <v>0</v>
      </c>
      <c r="J13">
        <v>2</v>
      </c>
      <c r="K13">
        <v>-7</v>
      </c>
      <c r="L13">
        <v>0</v>
      </c>
      <c r="M13">
        <v>19</v>
      </c>
      <c r="N13">
        <v>9</v>
      </c>
      <c r="O13">
        <v>110</v>
      </c>
      <c r="P13">
        <v>1</v>
      </c>
      <c r="Q13">
        <v>0</v>
      </c>
      <c r="R13">
        <v>0</v>
      </c>
      <c r="S13">
        <v>23.3</v>
      </c>
      <c r="T13">
        <v>3.7109375E-2</v>
      </c>
      <c r="U13">
        <v>-3.5</v>
      </c>
      <c r="V13">
        <v>12.2222222222222</v>
      </c>
      <c r="Y13">
        <v>20.8</v>
      </c>
    </row>
    <row r="14" spans="1:25" x14ac:dyDescent="0.2">
      <c r="A14" t="s">
        <v>260</v>
      </c>
      <c r="B14" t="s">
        <v>1538</v>
      </c>
      <c r="C14" t="s">
        <v>44</v>
      </c>
      <c r="D14">
        <v>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17</v>
      </c>
      <c r="P14">
        <v>0</v>
      </c>
      <c r="Q14">
        <v>0</v>
      </c>
      <c r="R14">
        <v>0</v>
      </c>
      <c r="S14">
        <v>5.7</v>
      </c>
      <c r="T14">
        <v>9.765625E-3</v>
      </c>
      <c r="V14">
        <v>4.25</v>
      </c>
      <c r="Y14">
        <v>3.7</v>
      </c>
    </row>
    <row r="15" spans="1:25" x14ac:dyDescent="0.2">
      <c r="A15" t="s">
        <v>1550</v>
      </c>
      <c r="B15" t="s">
        <v>1538</v>
      </c>
      <c r="C15" t="s">
        <v>44</v>
      </c>
      <c r="D15">
        <v>15</v>
      </c>
      <c r="E15">
        <v>0</v>
      </c>
      <c r="F15">
        <v>0</v>
      </c>
      <c r="G15">
        <v>0</v>
      </c>
      <c r="H15">
        <v>0</v>
      </c>
      <c r="I15">
        <v>0</v>
      </c>
      <c r="J15">
        <v>3</v>
      </c>
      <c r="K15">
        <v>5</v>
      </c>
      <c r="L15">
        <v>0</v>
      </c>
      <c r="M15">
        <v>142</v>
      </c>
      <c r="N15">
        <v>104</v>
      </c>
      <c r="O15">
        <v>1023</v>
      </c>
      <c r="P15">
        <v>3</v>
      </c>
      <c r="Q15">
        <v>0</v>
      </c>
      <c r="R15">
        <v>0</v>
      </c>
      <c r="S15">
        <v>222.8</v>
      </c>
      <c r="T15">
        <v>0.27734375</v>
      </c>
      <c r="U15">
        <v>1.6666666666666701</v>
      </c>
      <c r="V15">
        <v>9.8365384615384599</v>
      </c>
      <c r="Y15">
        <v>172.8</v>
      </c>
    </row>
    <row r="16" spans="1:25" x14ac:dyDescent="0.2">
      <c r="A16" t="s">
        <v>1551</v>
      </c>
      <c r="B16" t="s">
        <v>1538</v>
      </c>
      <c r="C16" t="s">
        <v>44</v>
      </c>
      <c r="D16">
        <v>2</v>
      </c>
      <c r="E16">
        <v>0</v>
      </c>
      <c r="F16">
        <v>0</v>
      </c>
      <c r="G16">
        <v>0</v>
      </c>
      <c r="H16">
        <v>0</v>
      </c>
      <c r="I16">
        <v>0</v>
      </c>
      <c r="J16">
        <v>2</v>
      </c>
      <c r="K16">
        <v>26</v>
      </c>
      <c r="L16">
        <v>0</v>
      </c>
      <c r="M16">
        <v>10</v>
      </c>
      <c r="N16">
        <v>5</v>
      </c>
      <c r="O16">
        <v>32</v>
      </c>
      <c r="P16">
        <v>0</v>
      </c>
      <c r="Q16">
        <v>0</v>
      </c>
      <c r="R16">
        <v>0</v>
      </c>
      <c r="S16">
        <v>10.8</v>
      </c>
      <c r="T16">
        <v>1.953125E-2</v>
      </c>
      <c r="U16">
        <v>13</v>
      </c>
      <c r="V16">
        <v>6.4</v>
      </c>
      <c r="Y16">
        <v>8.3000000000000007</v>
      </c>
    </row>
    <row r="17" spans="1:25" x14ac:dyDescent="0.2">
      <c r="A17" t="s">
        <v>1552</v>
      </c>
      <c r="B17" t="s">
        <v>1538</v>
      </c>
      <c r="C17" t="s">
        <v>44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2</v>
      </c>
      <c r="L17">
        <v>0</v>
      </c>
      <c r="M17">
        <v>2</v>
      </c>
      <c r="N17">
        <v>2</v>
      </c>
      <c r="O17">
        <v>26</v>
      </c>
      <c r="P17">
        <v>0</v>
      </c>
      <c r="Q17">
        <v>0</v>
      </c>
      <c r="R17">
        <v>0</v>
      </c>
      <c r="S17">
        <v>4.8</v>
      </c>
      <c r="T17">
        <v>3.90625E-3</v>
      </c>
      <c r="U17">
        <v>2</v>
      </c>
      <c r="V17">
        <v>13</v>
      </c>
      <c r="Y17">
        <v>3.8</v>
      </c>
    </row>
    <row r="18" spans="1:25" x14ac:dyDescent="0.2">
      <c r="A18" t="s">
        <v>1553</v>
      </c>
      <c r="B18" t="s">
        <v>1538</v>
      </c>
      <c r="C18" t="s">
        <v>44</v>
      </c>
      <c r="D18">
        <v>10</v>
      </c>
      <c r="E18">
        <v>0</v>
      </c>
      <c r="F18">
        <v>0</v>
      </c>
      <c r="G18">
        <v>0</v>
      </c>
      <c r="H18">
        <v>0</v>
      </c>
      <c r="I18">
        <v>0</v>
      </c>
      <c r="J18">
        <v>5</v>
      </c>
      <c r="K18">
        <v>45</v>
      </c>
      <c r="L18">
        <v>0</v>
      </c>
      <c r="M18">
        <v>43</v>
      </c>
      <c r="N18">
        <v>24</v>
      </c>
      <c r="O18">
        <v>299</v>
      </c>
      <c r="P18">
        <v>2</v>
      </c>
      <c r="Q18">
        <v>0</v>
      </c>
      <c r="R18">
        <v>0</v>
      </c>
      <c r="S18">
        <v>70.400000000000006</v>
      </c>
      <c r="T18">
        <v>8.3984375E-2</v>
      </c>
      <c r="U18">
        <v>9</v>
      </c>
      <c r="V18">
        <v>12.4583333333333</v>
      </c>
      <c r="Y18">
        <v>58.4</v>
      </c>
    </row>
    <row r="19" spans="1:25" x14ac:dyDescent="0.2">
      <c r="A19" t="s">
        <v>1554</v>
      </c>
      <c r="B19" t="s">
        <v>1538</v>
      </c>
      <c r="C19" t="s">
        <v>44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127</v>
      </c>
      <c r="N19">
        <v>77</v>
      </c>
      <c r="O19">
        <v>1124</v>
      </c>
      <c r="P19">
        <v>6</v>
      </c>
      <c r="Q19">
        <v>0</v>
      </c>
      <c r="R19">
        <v>0</v>
      </c>
      <c r="S19">
        <v>225.4</v>
      </c>
      <c r="T19">
        <v>0.248046875</v>
      </c>
      <c r="V19">
        <v>14.597402597402599</v>
      </c>
      <c r="Y19">
        <v>186.9</v>
      </c>
    </row>
    <row r="20" spans="1:25" x14ac:dyDescent="0.2">
      <c r="A20" t="s">
        <v>1555</v>
      </c>
      <c r="B20" t="s">
        <v>1538</v>
      </c>
      <c r="C20" t="s">
        <v>44</v>
      </c>
      <c r="D20">
        <v>13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70</v>
      </c>
      <c r="N20">
        <v>51</v>
      </c>
      <c r="O20">
        <v>426</v>
      </c>
      <c r="P20">
        <v>5</v>
      </c>
      <c r="Q20">
        <v>0</v>
      </c>
      <c r="R20">
        <v>0</v>
      </c>
      <c r="S20">
        <v>123.6</v>
      </c>
      <c r="T20">
        <v>0.13671875</v>
      </c>
      <c r="V20">
        <v>8.3529411764705905</v>
      </c>
      <c r="Y20">
        <v>98.1</v>
      </c>
    </row>
    <row r="21" spans="1:25" x14ac:dyDescent="0.2">
      <c r="A21" t="s">
        <v>1556</v>
      </c>
      <c r="B21" t="s">
        <v>1538</v>
      </c>
      <c r="C21" t="s">
        <v>44</v>
      </c>
      <c r="D21">
        <v>11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8</v>
      </c>
      <c r="L21">
        <v>0</v>
      </c>
      <c r="M21">
        <v>40</v>
      </c>
      <c r="N21">
        <v>23</v>
      </c>
      <c r="O21">
        <v>185</v>
      </c>
      <c r="P21">
        <v>0</v>
      </c>
      <c r="Q21">
        <v>0</v>
      </c>
      <c r="R21">
        <v>0</v>
      </c>
      <c r="S21">
        <v>42.3</v>
      </c>
      <c r="T21">
        <v>7.8125E-2</v>
      </c>
      <c r="U21">
        <v>8</v>
      </c>
      <c r="V21">
        <v>8.0434782608695592</v>
      </c>
      <c r="Y21">
        <v>30.8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1538</v>
      </c>
      <c r="B31">
        <v>6054</v>
      </c>
      <c r="C31">
        <v>4746</v>
      </c>
      <c r="D31">
        <v>386</v>
      </c>
      <c r="E31">
        <v>1308</v>
      </c>
      <c r="F31">
        <v>5</v>
      </c>
      <c r="G31">
        <v>1552.24</v>
      </c>
      <c r="H31">
        <v>751</v>
      </c>
      <c r="I31">
        <v>0.664447403462051</v>
      </c>
      <c r="J31">
        <v>26</v>
      </c>
      <c r="K31">
        <v>10</v>
      </c>
      <c r="L31">
        <v>5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1557</v>
      </c>
      <c r="B36" t="s">
        <v>27</v>
      </c>
      <c r="C36">
        <v>28</v>
      </c>
      <c r="D36">
        <v>5</v>
      </c>
      <c r="E36" t="s">
        <v>69</v>
      </c>
      <c r="F36" t="s">
        <v>1538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1558</v>
      </c>
      <c r="B37" t="s">
        <v>27</v>
      </c>
      <c r="C37">
        <v>25</v>
      </c>
      <c r="D37">
        <v>2</v>
      </c>
      <c r="E37" t="s">
        <v>176</v>
      </c>
      <c r="F37" t="s">
        <v>1538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1559</v>
      </c>
      <c r="B38" t="s">
        <v>27</v>
      </c>
      <c r="C38">
        <v>27</v>
      </c>
      <c r="D38">
        <v>3</v>
      </c>
      <c r="E38" t="s">
        <v>90</v>
      </c>
      <c r="F38" t="s">
        <v>1538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1560</v>
      </c>
      <c r="B39" t="s">
        <v>32</v>
      </c>
      <c r="C39">
        <v>23</v>
      </c>
      <c r="D39">
        <v>0</v>
      </c>
      <c r="E39" t="s">
        <v>106</v>
      </c>
      <c r="F39" t="s">
        <v>1538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1561</v>
      </c>
      <c r="B40" t="s">
        <v>32</v>
      </c>
      <c r="C40">
        <v>27</v>
      </c>
      <c r="D40">
        <v>6</v>
      </c>
      <c r="E40" t="s">
        <v>1562</v>
      </c>
      <c r="F40" t="s">
        <v>1538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1563</v>
      </c>
      <c r="B41" t="s">
        <v>32</v>
      </c>
      <c r="C41">
        <v>27</v>
      </c>
      <c r="D41">
        <v>4</v>
      </c>
      <c r="E41" t="s">
        <v>422</v>
      </c>
      <c r="F41" t="s">
        <v>1538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1564</v>
      </c>
      <c r="B42" t="s">
        <v>32</v>
      </c>
      <c r="C42">
        <v>21</v>
      </c>
      <c r="D42">
        <v>0</v>
      </c>
      <c r="E42" t="s">
        <v>1148</v>
      </c>
      <c r="F42" t="s">
        <v>1538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1565</v>
      </c>
      <c r="B43" t="s">
        <v>32</v>
      </c>
      <c r="C43">
        <v>26</v>
      </c>
      <c r="D43">
        <v>3</v>
      </c>
      <c r="E43" t="s">
        <v>104</v>
      </c>
      <c r="F43" t="s">
        <v>1538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1566</v>
      </c>
      <c r="B44" t="s">
        <v>32</v>
      </c>
      <c r="C44">
        <v>24</v>
      </c>
      <c r="D44">
        <v>0</v>
      </c>
      <c r="E44" t="s">
        <v>155</v>
      </c>
      <c r="F44" t="s">
        <v>1538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1567</v>
      </c>
      <c r="B45" t="s">
        <v>44</v>
      </c>
      <c r="C45">
        <v>23</v>
      </c>
      <c r="D45">
        <v>0</v>
      </c>
      <c r="E45" t="s">
        <v>77</v>
      </c>
      <c r="F45" t="s">
        <v>1538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1568</v>
      </c>
      <c r="B46" t="s">
        <v>44</v>
      </c>
      <c r="C46">
        <v>29</v>
      </c>
      <c r="D46">
        <v>9</v>
      </c>
      <c r="E46" t="s">
        <v>454</v>
      </c>
      <c r="F46" t="s">
        <v>1538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1569</v>
      </c>
      <c r="B47" t="s">
        <v>44</v>
      </c>
      <c r="C47">
        <v>27</v>
      </c>
      <c r="D47">
        <v>5</v>
      </c>
      <c r="E47" t="s">
        <v>222</v>
      </c>
      <c r="F47" t="s">
        <v>1538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1570</v>
      </c>
      <c r="B48" t="s">
        <v>44</v>
      </c>
      <c r="C48">
        <v>25</v>
      </c>
      <c r="D48">
        <v>0</v>
      </c>
      <c r="E48" t="s">
        <v>515</v>
      </c>
      <c r="F48" t="s">
        <v>1538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1571</v>
      </c>
      <c r="B49" t="s">
        <v>44</v>
      </c>
      <c r="C49">
        <v>27</v>
      </c>
      <c r="D49">
        <v>6</v>
      </c>
      <c r="E49" t="s">
        <v>340</v>
      </c>
      <c r="F49" t="s">
        <v>1538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1572</v>
      </c>
      <c r="B50" t="s">
        <v>44</v>
      </c>
      <c r="C50">
        <v>22</v>
      </c>
      <c r="D50">
        <v>0</v>
      </c>
      <c r="E50" t="s">
        <v>227</v>
      </c>
      <c r="F50" t="s">
        <v>1538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1573</v>
      </c>
      <c r="B51" t="s">
        <v>44</v>
      </c>
      <c r="C51">
        <v>23</v>
      </c>
      <c r="D51">
        <v>0</v>
      </c>
      <c r="E51" t="s">
        <v>1574</v>
      </c>
      <c r="F51" t="s">
        <v>1538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1575</v>
      </c>
      <c r="B52" t="s">
        <v>44</v>
      </c>
      <c r="C52">
        <v>28</v>
      </c>
      <c r="D52">
        <v>6</v>
      </c>
      <c r="E52" t="s">
        <v>675</v>
      </c>
      <c r="F52" t="s">
        <v>1538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1576</v>
      </c>
      <c r="B53" t="s">
        <v>44</v>
      </c>
      <c r="C53">
        <v>22</v>
      </c>
      <c r="D53">
        <v>0</v>
      </c>
      <c r="E53" t="s">
        <v>247</v>
      </c>
      <c r="F53" t="s">
        <v>1538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1577</v>
      </c>
      <c r="B54" t="s">
        <v>44</v>
      </c>
      <c r="C54">
        <v>23</v>
      </c>
      <c r="D54">
        <v>0</v>
      </c>
      <c r="E54" t="s">
        <v>88</v>
      </c>
      <c r="F54" t="s">
        <v>1538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1578</v>
      </c>
      <c r="B55" t="s">
        <v>44</v>
      </c>
      <c r="C55">
        <v>24</v>
      </c>
      <c r="D55">
        <v>0</v>
      </c>
      <c r="E55" t="s">
        <v>560</v>
      </c>
      <c r="F55" t="s">
        <v>1538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1579</v>
      </c>
      <c r="B56" t="s">
        <v>39</v>
      </c>
      <c r="C56">
        <v>26</v>
      </c>
      <c r="D56">
        <v>2</v>
      </c>
      <c r="E56" t="s">
        <v>424</v>
      </c>
      <c r="F56" t="s">
        <v>1538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1580</v>
      </c>
      <c r="B57" t="s">
        <v>39</v>
      </c>
      <c r="C57">
        <v>23</v>
      </c>
      <c r="D57">
        <v>0</v>
      </c>
      <c r="E57" t="s">
        <v>63</v>
      </c>
      <c r="F57" t="s">
        <v>1538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1581</v>
      </c>
      <c r="B58" t="s">
        <v>39</v>
      </c>
      <c r="C58">
        <v>25</v>
      </c>
      <c r="D58">
        <v>0</v>
      </c>
      <c r="E58" t="s">
        <v>220</v>
      </c>
      <c r="F58" t="s">
        <v>1538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1582</v>
      </c>
      <c r="B59" t="s">
        <v>39</v>
      </c>
      <c r="C59">
        <v>24</v>
      </c>
      <c r="D59">
        <v>0</v>
      </c>
      <c r="E59" t="s">
        <v>85</v>
      </c>
      <c r="F59" t="s">
        <v>1538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1583</v>
      </c>
      <c r="B60" t="s">
        <v>39</v>
      </c>
      <c r="C60">
        <v>24</v>
      </c>
      <c r="D60">
        <v>0</v>
      </c>
      <c r="E60" t="s">
        <v>1584</v>
      </c>
      <c r="F60" t="s">
        <v>1538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1585</v>
      </c>
      <c r="B61" t="s">
        <v>39</v>
      </c>
      <c r="C61">
        <v>28</v>
      </c>
      <c r="D61">
        <v>3</v>
      </c>
      <c r="E61" t="s">
        <v>666</v>
      </c>
      <c r="F61" t="s">
        <v>1538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AB63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1586</v>
      </c>
      <c r="B2" t="s">
        <v>1587</v>
      </c>
      <c r="C2" t="s">
        <v>27</v>
      </c>
      <c r="D2">
        <v>2</v>
      </c>
      <c r="E2">
        <v>68</v>
      </c>
      <c r="F2">
        <v>40</v>
      </c>
      <c r="G2">
        <v>411</v>
      </c>
      <c r="H2">
        <v>2</v>
      </c>
      <c r="I2">
        <v>2</v>
      </c>
      <c r="J2">
        <v>8</v>
      </c>
      <c r="K2">
        <v>44</v>
      </c>
      <c r="L2">
        <v>0</v>
      </c>
      <c r="M2">
        <v>0</v>
      </c>
      <c r="N2">
        <v>0</v>
      </c>
      <c r="O2">
        <v>0</v>
      </c>
      <c r="P2">
        <v>0</v>
      </c>
      <c r="Q2">
        <v>2</v>
      </c>
      <c r="R2">
        <v>0</v>
      </c>
      <c r="S2">
        <v>20.84</v>
      </c>
      <c r="T2">
        <v>0</v>
      </c>
      <c r="U2">
        <v>5.5</v>
      </c>
      <c r="W2">
        <v>0.58823529411764697</v>
      </c>
      <c r="X2">
        <v>2.9411764705882401E-2</v>
      </c>
      <c r="Y2">
        <v>22.84</v>
      </c>
    </row>
    <row r="3" spans="1:25" x14ac:dyDescent="0.2">
      <c r="A3" t="s">
        <v>1588</v>
      </c>
      <c r="B3" t="s">
        <v>1587</v>
      </c>
      <c r="C3" t="s">
        <v>27</v>
      </c>
      <c r="D3">
        <v>7</v>
      </c>
      <c r="E3">
        <v>61</v>
      </c>
      <c r="F3">
        <v>31</v>
      </c>
      <c r="G3">
        <v>276</v>
      </c>
      <c r="H3">
        <v>0</v>
      </c>
      <c r="I3">
        <v>3</v>
      </c>
      <c r="J3">
        <v>27</v>
      </c>
      <c r="K3">
        <v>123</v>
      </c>
      <c r="L3">
        <v>1</v>
      </c>
      <c r="M3">
        <v>0</v>
      </c>
      <c r="N3">
        <v>0</v>
      </c>
      <c r="O3">
        <v>0</v>
      </c>
      <c r="P3">
        <v>0</v>
      </c>
      <c r="Q3">
        <v>2</v>
      </c>
      <c r="R3">
        <v>0</v>
      </c>
      <c r="S3">
        <v>19.34</v>
      </c>
      <c r="T3">
        <v>0</v>
      </c>
      <c r="U3">
        <v>4.5555555555555598</v>
      </c>
      <c r="W3">
        <v>0.50819672131147497</v>
      </c>
      <c r="X3">
        <v>0</v>
      </c>
      <c r="Y3">
        <v>22.34</v>
      </c>
    </row>
    <row r="4" spans="1:25" x14ac:dyDescent="0.2">
      <c r="A4" t="s">
        <v>1589</v>
      </c>
      <c r="B4" t="s">
        <v>1587</v>
      </c>
      <c r="C4" t="s">
        <v>27</v>
      </c>
      <c r="D4">
        <v>12</v>
      </c>
      <c r="E4">
        <v>325</v>
      </c>
      <c r="F4">
        <v>212</v>
      </c>
      <c r="G4">
        <v>2536</v>
      </c>
      <c r="H4">
        <v>14</v>
      </c>
      <c r="I4">
        <v>6</v>
      </c>
      <c r="J4">
        <v>34</v>
      </c>
      <c r="K4">
        <v>98</v>
      </c>
      <c r="L4">
        <v>2</v>
      </c>
      <c r="M4">
        <v>0</v>
      </c>
      <c r="N4">
        <v>0</v>
      </c>
      <c r="O4">
        <v>0</v>
      </c>
      <c r="P4">
        <v>0</v>
      </c>
      <c r="Q4">
        <v>2</v>
      </c>
      <c r="R4">
        <v>1</v>
      </c>
      <c r="S4">
        <v>165.24</v>
      </c>
      <c r="T4">
        <v>0</v>
      </c>
      <c r="U4">
        <v>2.8823529411764701</v>
      </c>
      <c r="W4">
        <v>0.65230769230769203</v>
      </c>
      <c r="X4">
        <v>4.3076923076923103E-2</v>
      </c>
      <c r="Y4">
        <v>171.24</v>
      </c>
    </row>
    <row r="5" spans="1:25" x14ac:dyDescent="0.2">
      <c r="A5" t="s">
        <v>1590</v>
      </c>
      <c r="B5" t="s">
        <v>1587</v>
      </c>
      <c r="C5" t="s">
        <v>32</v>
      </c>
      <c r="D5">
        <v>16</v>
      </c>
      <c r="E5">
        <v>2</v>
      </c>
      <c r="F5">
        <v>2</v>
      </c>
      <c r="G5">
        <v>4</v>
      </c>
      <c r="H5">
        <v>1</v>
      </c>
      <c r="I5">
        <v>0</v>
      </c>
      <c r="J5">
        <v>349</v>
      </c>
      <c r="K5">
        <v>1538</v>
      </c>
      <c r="L5">
        <v>13</v>
      </c>
      <c r="M5">
        <v>41</v>
      </c>
      <c r="N5">
        <v>33</v>
      </c>
      <c r="O5">
        <v>398</v>
      </c>
      <c r="P5">
        <v>0</v>
      </c>
      <c r="Q5">
        <v>2</v>
      </c>
      <c r="R5">
        <v>0</v>
      </c>
      <c r="S5">
        <v>302.76</v>
      </c>
      <c r="T5">
        <v>5.4593874833555302E-2</v>
      </c>
      <c r="U5">
        <v>4.4068767908309496</v>
      </c>
      <c r="V5">
        <v>12.0606060606061</v>
      </c>
      <c r="W5">
        <v>1</v>
      </c>
      <c r="X5">
        <v>0.5</v>
      </c>
      <c r="Y5">
        <v>284.10000000000002</v>
      </c>
    </row>
    <row r="6" spans="1:25" x14ac:dyDescent="0.2">
      <c r="A6" t="s">
        <v>1591</v>
      </c>
      <c r="B6" t="s">
        <v>1587</v>
      </c>
      <c r="C6" t="s">
        <v>32</v>
      </c>
      <c r="D6">
        <v>11</v>
      </c>
      <c r="E6">
        <v>0</v>
      </c>
      <c r="F6">
        <v>0</v>
      </c>
      <c r="G6">
        <v>0</v>
      </c>
      <c r="H6">
        <v>0</v>
      </c>
      <c r="I6">
        <v>0</v>
      </c>
      <c r="J6">
        <v>22</v>
      </c>
      <c r="K6">
        <v>145</v>
      </c>
      <c r="L6">
        <v>0</v>
      </c>
      <c r="M6">
        <v>26</v>
      </c>
      <c r="N6">
        <v>21</v>
      </c>
      <c r="O6">
        <v>177</v>
      </c>
      <c r="P6">
        <v>4</v>
      </c>
      <c r="Q6">
        <v>0</v>
      </c>
      <c r="R6">
        <v>0</v>
      </c>
      <c r="S6">
        <v>77.2</v>
      </c>
      <c r="T6">
        <v>3.4620505992010699E-2</v>
      </c>
      <c r="U6">
        <v>6.5909090909090899</v>
      </c>
      <c r="V6">
        <v>8.4285714285714306</v>
      </c>
      <c r="Y6">
        <v>66.7</v>
      </c>
    </row>
    <row r="7" spans="1:25" x14ac:dyDescent="0.2">
      <c r="A7" t="s">
        <v>1592</v>
      </c>
      <c r="B7" t="s">
        <v>1587</v>
      </c>
      <c r="C7" t="s">
        <v>32</v>
      </c>
      <c r="D7">
        <v>7</v>
      </c>
      <c r="E7">
        <v>0</v>
      </c>
      <c r="F7">
        <v>0</v>
      </c>
      <c r="G7">
        <v>0</v>
      </c>
      <c r="H7">
        <v>0</v>
      </c>
      <c r="I7">
        <v>0</v>
      </c>
      <c r="J7">
        <v>25</v>
      </c>
      <c r="K7">
        <v>93</v>
      </c>
      <c r="L7">
        <v>0</v>
      </c>
      <c r="M7">
        <v>12</v>
      </c>
      <c r="N7">
        <v>11</v>
      </c>
      <c r="O7">
        <v>57</v>
      </c>
      <c r="P7">
        <v>0</v>
      </c>
      <c r="Q7">
        <v>0</v>
      </c>
      <c r="R7">
        <v>0</v>
      </c>
      <c r="S7">
        <v>26</v>
      </c>
      <c r="T7">
        <v>1.59786950732357E-2</v>
      </c>
      <c r="U7">
        <v>3.72</v>
      </c>
      <c r="V7">
        <v>5.1818181818181799</v>
      </c>
      <c r="Y7">
        <v>20.5</v>
      </c>
    </row>
    <row r="8" spans="1:25" x14ac:dyDescent="0.2">
      <c r="A8" t="s">
        <v>1593</v>
      </c>
      <c r="B8" t="s">
        <v>1587</v>
      </c>
      <c r="C8" t="s">
        <v>32</v>
      </c>
      <c r="D8">
        <v>3</v>
      </c>
      <c r="E8">
        <v>0</v>
      </c>
      <c r="F8">
        <v>0</v>
      </c>
      <c r="G8">
        <v>0</v>
      </c>
      <c r="H8">
        <v>0</v>
      </c>
      <c r="I8">
        <v>0</v>
      </c>
      <c r="J8">
        <v>9</v>
      </c>
      <c r="K8">
        <v>12</v>
      </c>
      <c r="L8">
        <v>0</v>
      </c>
      <c r="M8">
        <v>3</v>
      </c>
      <c r="N8">
        <v>3</v>
      </c>
      <c r="O8">
        <v>41</v>
      </c>
      <c r="P8">
        <v>0</v>
      </c>
      <c r="Q8">
        <v>0</v>
      </c>
      <c r="R8">
        <v>0</v>
      </c>
      <c r="S8">
        <v>8.3000000000000007</v>
      </c>
      <c r="T8">
        <v>3.9946737683089198E-3</v>
      </c>
      <c r="U8">
        <v>1.3333333333333299</v>
      </c>
      <c r="V8">
        <v>13.6666666666667</v>
      </c>
      <c r="Y8">
        <v>6.8</v>
      </c>
    </row>
    <row r="9" spans="1:25" x14ac:dyDescent="0.2">
      <c r="A9" t="s">
        <v>1594</v>
      </c>
      <c r="B9" t="s">
        <v>1587</v>
      </c>
      <c r="C9" t="s">
        <v>32</v>
      </c>
      <c r="D9">
        <v>2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25</v>
      </c>
      <c r="L9">
        <v>0</v>
      </c>
      <c r="M9">
        <v>3</v>
      </c>
      <c r="N9">
        <v>2</v>
      </c>
      <c r="O9">
        <v>7</v>
      </c>
      <c r="P9">
        <v>0</v>
      </c>
      <c r="Q9">
        <v>0</v>
      </c>
      <c r="R9">
        <v>0</v>
      </c>
      <c r="S9">
        <v>5.2</v>
      </c>
      <c r="T9">
        <v>3.9946737683089198E-3</v>
      </c>
      <c r="U9">
        <v>5</v>
      </c>
      <c r="V9">
        <v>3.5</v>
      </c>
      <c r="Y9">
        <v>4.2</v>
      </c>
    </row>
    <row r="10" spans="1:25" x14ac:dyDescent="0.2">
      <c r="A10" t="s">
        <v>1595</v>
      </c>
      <c r="B10" t="s">
        <v>1587</v>
      </c>
      <c r="C10" t="s">
        <v>39</v>
      </c>
      <c r="D10">
        <v>17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60</v>
      </c>
      <c r="N10">
        <v>41</v>
      </c>
      <c r="O10">
        <v>444</v>
      </c>
      <c r="P10">
        <v>2</v>
      </c>
      <c r="Q10">
        <v>0</v>
      </c>
      <c r="R10">
        <v>0</v>
      </c>
      <c r="S10">
        <v>97.4</v>
      </c>
      <c r="T10">
        <v>7.9893475366178399E-2</v>
      </c>
      <c r="V10">
        <v>10.829268292682899</v>
      </c>
      <c r="Y10">
        <v>76.900000000000006</v>
      </c>
    </row>
    <row r="11" spans="1:25" x14ac:dyDescent="0.2">
      <c r="A11" t="s">
        <v>1596</v>
      </c>
      <c r="B11" t="s">
        <v>1587</v>
      </c>
      <c r="C11" t="s">
        <v>39</v>
      </c>
      <c r="D11">
        <v>15</v>
      </c>
      <c r="E11">
        <v>0</v>
      </c>
      <c r="F11">
        <v>0</v>
      </c>
      <c r="G11">
        <v>0</v>
      </c>
      <c r="H11">
        <v>0</v>
      </c>
      <c r="I11">
        <v>0</v>
      </c>
      <c r="J11">
        <v>3</v>
      </c>
      <c r="K11">
        <v>2</v>
      </c>
      <c r="L11">
        <v>0</v>
      </c>
      <c r="M11">
        <v>46</v>
      </c>
      <c r="N11">
        <v>32</v>
      </c>
      <c r="O11">
        <v>450</v>
      </c>
      <c r="P11">
        <v>3</v>
      </c>
      <c r="Q11">
        <v>0</v>
      </c>
      <c r="R11">
        <v>0</v>
      </c>
      <c r="S11">
        <v>97.2</v>
      </c>
      <c r="T11">
        <v>6.12516644474035E-2</v>
      </c>
      <c r="U11">
        <v>0.66666666666666696</v>
      </c>
      <c r="V11">
        <v>14.0625</v>
      </c>
      <c r="Y11">
        <v>79.2</v>
      </c>
    </row>
    <row r="12" spans="1:25" x14ac:dyDescent="0.2">
      <c r="A12" t="s">
        <v>1597</v>
      </c>
      <c r="B12" t="s">
        <v>1587</v>
      </c>
      <c r="C12" t="s">
        <v>39</v>
      </c>
      <c r="D12">
        <v>11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16</v>
      </c>
      <c r="N12">
        <v>12</v>
      </c>
      <c r="O12">
        <v>58</v>
      </c>
      <c r="P12">
        <v>1</v>
      </c>
      <c r="Q12">
        <v>0</v>
      </c>
      <c r="R12">
        <v>0</v>
      </c>
      <c r="S12">
        <v>23.8</v>
      </c>
      <c r="T12">
        <v>2.1304926764314201E-2</v>
      </c>
      <c r="V12">
        <v>4.8333333333333304</v>
      </c>
      <c r="Y12">
        <v>17.8</v>
      </c>
    </row>
    <row r="13" spans="1:25" x14ac:dyDescent="0.2">
      <c r="A13" t="s">
        <v>1598</v>
      </c>
      <c r="B13" t="s">
        <v>1587</v>
      </c>
      <c r="C13" t="s">
        <v>44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1</v>
      </c>
      <c r="O13">
        <v>6</v>
      </c>
      <c r="P13">
        <v>0</v>
      </c>
      <c r="Q13">
        <v>0</v>
      </c>
      <c r="R13">
        <v>0</v>
      </c>
      <c r="S13">
        <v>1.6</v>
      </c>
      <c r="T13">
        <v>1.3315579227696399E-3</v>
      </c>
      <c r="V13">
        <v>6</v>
      </c>
      <c r="Y13">
        <v>1.1000000000000001</v>
      </c>
    </row>
    <row r="14" spans="1:25" x14ac:dyDescent="0.2">
      <c r="A14" t="s">
        <v>761</v>
      </c>
      <c r="B14" t="s">
        <v>1587</v>
      </c>
      <c r="C14" t="s">
        <v>44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</v>
      </c>
      <c r="N14">
        <v>4</v>
      </c>
      <c r="O14">
        <v>46</v>
      </c>
      <c r="P14">
        <v>0</v>
      </c>
      <c r="Q14">
        <v>0</v>
      </c>
      <c r="R14">
        <v>0</v>
      </c>
      <c r="S14">
        <v>8.6</v>
      </c>
      <c r="T14">
        <v>6.6577896138481996E-3</v>
      </c>
      <c r="V14">
        <v>11.5</v>
      </c>
      <c r="Y14">
        <v>6.6</v>
      </c>
    </row>
    <row r="15" spans="1:25" x14ac:dyDescent="0.2">
      <c r="A15" t="s">
        <v>1599</v>
      </c>
      <c r="B15" t="s">
        <v>1587</v>
      </c>
      <c r="C15" t="s">
        <v>44</v>
      </c>
      <c r="D15">
        <v>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</v>
      </c>
      <c r="N15">
        <v>3</v>
      </c>
      <c r="O15">
        <v>54</v>
      </c>
      <c r="P15">
        <v>0</v>
      </c>
      <c r="Q15">
        <v>0</v>
      </c>
      <c r="R15">
        <v>0</v>
      </c>
      <c r="S15">
        <v>8.4</v>
      </c>
      <c r="T15">
        <v>6.6577896138481996E-3</v>
      </c>
      <c r="V15">
        <v>18</v>
      </c>
      <c r="Y15">
        <v>6.9</v>
      </c>
    </row>
    <row r="16" spans="1:25" x14ac:dyDescent="0.2">
      <c r="A16" t="s">
        <v>1600</v>
      </c>
      <c r="B16" t="s">
        <v>1587</v>
      </c>
      <c r="C16" t="s">
        <v>44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1.3315579227696399E-3</v>
      </c>
      <c r="Y16">
        <v>0</v>
      </c>
    </row>
    <row r="17" spans="1:25" x14ac:dyDescent="0.2">
      <c r="A17" t="s">
        <v>1601</v>
      </c>
      <c r="B17" t="s">
        <v>1587</v>
      </c>
      <c r="C17" t="s">
        <v>44</v>
      </c>
      <c r="D17">
        <v>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13</v>
      </c>
      <c r="N17">
        <v>8</v>
      </c>
      <c r="O17">
        <v>78</v>
      </c>
      <c r="P17">
        <v>0</v>
      </c>
      <c r="Q17">
        <v>0</v>
      </c>
      <c r="R17">
        <v>0</v>
      </c>
      <c r="S17">
        <v>15.8</v>
      </c>
      <c r="T17">
        <v>1.7310252996005301E-2</v>
      </c>
      <c r="V17">
        <v>9.75</v>
      </c>
      <c r="Y17">
        <v>11.8</v>
      </c>
    </row>
    <row r="18" spans="1:25" x14ac:dyDescent="0.2">
      <c r="A18" t="s">
        <v>1602</v>
      </c>
      <c r="B18" t="s">
        <v>1587</v>
      </c>
      <c r="C18" t="s">
        <v>44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</v>
      </c>
      <c r="O18">
        <v>3</v>
      </c>
      <c r="P18">
        <v>0</v>
      </c>
      <c r="Q18">
        <v>0</v>
      </c>
      <c r="R18">
        <v>0</v>
      </c>
      <c r="S18">
        <v>1.3</v>
      </c>
      <c r="T18">
        <v>1.3315579227696399E-3</v>
      </c>
      <c r="V18">
        <v>3</v>
      </c>
      <c r="Y18">
        <v>0.8</v>
      </c>
    </row>
    <row r="19" spans="1:25" x14ac:dyDescent="0.2">
      <c r="A19" t="s">
        <v>1603</v>
      </c>
      <c r="B19" t="s">
        <v>1587</v>
      </c>
      <c r="C19" t="s">
        <v>44</v>
      </c>
      <c r="D19">
        <v>15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50</v>
      </c>
      <c r="N19">
        <v>25</v>
      </c>
      <c r="O19">
        <v>397</v>
      </c>
      <c r="P19">
        <v>3</v>
      </c>
      <c r="Q19">
        <v>0</v>
      </c>
      <c r="R19">
        <v>0</v>
      </c>
      <c r="S19">
        <v>82.7</v>
      </c>
      <c r="T19">
        <v>6.6577896138482001E-2</v>
      </c>
      <c r="V19">
        <v>15.88</v>
      </c>
      <c r="Y19">
        <v>70.2</v>
      </c>
    </row>
    <row r="20" spans="1:25" x14ac:dyDescent="0.2">
      <c r="A20" t="s">
        <v>1604</v>
      </c>
      <c r="B20" t="s">
        <v>1587</v>
      </c>
      <c r="C20" t="s">
        <v>44</v>
      </c>
      <c r="D20">
        <v>4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4</v>
      </c>
      <c r="L20">
        <v>0</v>
      </c>
      <c r="M20">
        <v>8</v>
      </c>
      <c r="N20">
        <v>2</v>
      </c>
      <c r="O20">
        <v>40</v>
      </c>
      <c r="P20">
        <v>0</v>
      </c>
      <c r="Q20">
        <v>0</v>
      </c>
      <c r="R20">
        <v>0</v>
      </c>
      <c r="S20">
        <v>6.4</v>
      </c>
      <c r="T20">
        <v>1.06524633821571E-2</v>
      </c>
      <c r="U20">
        <v>4</v>
      </c>
      <c r="V20">
        <v>20</v>
      </c>
      <c r="Y20">
        <v>5.4</v>
      </c>
    </row>
    <row r="21" spans="1:25" x14ac:dyDescent="0.2">
      <c r="A21" t="s">
        <v>1605</v>
      </c>
      <c r="B21" t="s">
        <v>1587</v>
      </c>
      <c r="C21" t="s">
        <v>44</v>
      </c>
      <c r="D21">
        <v>17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91</v>
      </c>
      <c r="N21">
        <v>53</v>
      </c>
      <c r="O21">
        <v>527</v>
      </c>
      <c r="P21">
        <v>2</v>
      </c>
      <c r="Q21">
        <v>0</v>
      </c>
      <c r="R21">
        <v>0</v>
      </c>
      <c r="S21">
        <v>117.7</v>
      </c>
      <c r="T21">
        <v>0.121171770972037</v>
      </c>
      <c r="V21">
        <v>9.9433962264150892</v>
      </c>
      <c r="Y21">
        <v>91.2</v>
      </c>
    </row>
    <row r="22" spans="1:25" x14ac:dyDescent="0.2">
      <c r="A22" t="s">
        <v>1606</v>
      </c>
      <c r="B22" t="s">
        <v>1587</v>
      </c>
      <c r="C22" t="s">
        <v>44</v>
      </c>
      <c r="D22">
        <v>11</v>
      </c>
      <c r="E22">
        <v>0</v>
      </c>
      <c r="F22">
        <v>0</v>
      </c>
      <c r="G22">
        <v>0</v>
      </c>
      <c r="H22">
        <v>0</v>
      </c>
      <c r="I22">
        <v>0</v>
      </c>
      <c r="J22">
        <v>4</v>
      </c>
      <c r="K22">
        <v>47</v>
      </c>
      <c r="L22">
        <v>0</v>
      </c>
      <c r="M22">
        <v>54</v>
      </c>
      <c r="N22">
        <v>33</v>
      </c>
      <c r="O22">
        <v>444</v>
      </c>
      <c r="P22">
        <v>1</v>
      </c>
      <c r="Q22">
        <v>0</v>
      </c>
      <c r="R22">
        <v>0</v>
      </c>
      <c r="S22">
        <v>88.1</v>
      </c>
      <c r="T22">
        <v>7.1904127829560599E-2</v>
      </c>
      <c r="U22">
        <v>11.75</v>
      </c>
      <c r="V22">
        <v>13.454545454545499</v>
      </c>
      <c r="Y22">
        <v>71.599999999999994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1587</v>
      </c>
      <c r="B31">
        <v>5358</v>
      </c>
      <c r="C31">
        <v>3227</v>
      </c>
      <c r="D31">
        <v>487</v>
      </c>
      <c r="E31">
        <v>2131</v>
      </c>
      <c r="F31">
        <v>16</v>
      </c>
      <c r="G31">
        <v>1173.8800000000001</v>
      </c>
      <c r="H31">
        <v>456</v>
      </c>
      <c r="I31">
        <v>0.625</v>
      </c>
      <c r="J31">
        <v>17</v>
      </c>
      <c r="K31">
        <v>11</v>
      </c>
      <c r="L31">
        <v>8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1607</v>
      </c>
      <c r="B36" t="s">
        <v>27</v>
      </c>
      <c r="C36">
        <v>24</v>
      </c>
      <c r="D36">
        <v>0</v>
      </c>
      <c r="E36" t="s">
        <v>148</v>
      </c>
      <c r="F36" t="s">
        <v>1587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</row>
    <row r="37" spans="1:28" x14ac:dyDescent="0.2">
      <c r="A37" t="s">
        <v>1608</v>
      </c>
      <c r="B37" t="s">
        <v>27</v>
      </c>
      <c r="C37">
        <v>34</v>
      </c>
      <c r="D37">
        <v>12</v>
      </c>
      <c r="E37" t="s">
        <v>454</v>
      </c>
      <c r="F37" t="s">
        <v>1587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</row>
    <row r="38" spans="1:28" x14ac:dyDescent="0.2">
      <c r="A38" t="s">
        <v>1609</v>
      </c>
      <c r="B38" t="s">
        <v>27</v>
      </c>
      <c r="C38">
        <v>24</v>
      </c>
      <c r="D38">
        <v>2</v>
      </c>
      <c r="E38" t="s">
        <v>1192</v>
      </c>
      <c r="F38" t="s">
        <v>1587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</row>
    <row r="39" spans="1:28" x14ac:dyDescent="0.2">
      <c r="A39" t="s">
        <v>1610</v>
      </c>
      <c r="B39" t="s">
        <v>32</v>
      </c>
      <c r="C39">
        <v>22</v>
      </c>
      <c r="D39">
        <v>0</v>
      </c>
      <c r="E39" t="s">
        <v>1611</v>
      </c>
      <c r="F39" t="s">
        <v>1587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</row>
    <row r="40" spans="1:28" x14ac:dyDescent="0.2">
      <c r="A40" t="s">
        <v>1612</v>
      </c>
      <c r="B40" t="s">
        <v>32</v>
      </c>
      <c r="C40">
        <v>23</v>
      </c>
      <c r="D40">
        <v>2</v>
      </c>
      <c r="E40" t="s">
        <v>100</v>
      </c>
      <c r="F40" t="s">
        <v>1587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</row>
    <row r="41" spans="1:28" x14ac:dyDescent="0.2">
      <c r="A41" t="s">
        <v>1613</v>
      </c>
      <c r="B41" t="s">
        <v>32</v>
      </c>
      <c r="C41">
        <v>29</v>
      </c>
      <c r="D41">
        <v>8</v>
      </c>
      <c r="E41" t="s">
        <v>153</v>
      </c>
      <c r="F41" t="s">
        <v>1587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</row>
    <row r="42" spans="1:28" x14ac:dyDescent="0.2">
      <c r="A42" t="s">
        <v>1614</v>
      </c>
      <c r="B42" t="s">
        <v>32</v>
      </c>
      <c r="C42">
        <v>24</v>
      </c>
      <c r="D42">
        <v>0</v>
      </c>
      <c r="E42" t="s">
        <v>133</v>
      </c>
      <c r="F42" t="s">
        <v>1587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</row>
    <row r="43" spans="1:28" x14ac:dyDescent="0.2">
      <c r="A43" t="s">
        <v>1615</v>
      </c>
      <c r="B43" t="s">
        <v>32</v>
      </c>
      <c r="C43">
        <v>22</v>
      </c>
      <c r="D43">
        <v>0</v>
      </c>
      <c r="E43" t="s">
        <v>406</v>
      </c>
      <c r="F43" t="s">
        <v>1587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</row>
    <row r="44" spans="1:28" x14ac:dyDescent="0.2">
      <c r="A44" t="s">
        <v>1616</v>
      </c>
      <c r="B44" t="s">
        <v>32</v>
      </c>
      <c r="C44">
        <v>25</v>
      </c>
      <c r="D44">
        <v>4</v>
      </c>
      <c r="E44" t="s">
        <v>309</v>
      </c>
      <c r="F44" t="s">
        <v>1587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</row>
    <row r="45" spans="1:28" x14ac:dyDescent="0.2">
      <c r="A45" t="s">
        <v>1617</v>
      </c>
      <c r="B45" t="s">
        <v>44</v>
      </c>
      <c r="C45">
        <v>23</v>
      </c>
      <c r="D45">
        <v>2</v>
      </c>
      <c r="E45" t="s">
        <v>173</v>
      </c>
      <c r="F45" t="s">
        <v>1587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</row>
    <row r="46" spans="1:28" x14ac:dyDescent="0.2">
      <c r="A46" t="s">
        <v>1618</v>
      </c>
      <c r="B46" t="s">
        <v>44</v>
      </c>
      <c r="C46">
        <v>23</v>
      </c>
      <c r="D46">
        <v>0</v>
      </c>
      <c r="E46" t="s">
        <v>227</v>
      </c>
      <c r="F46" t="s">
        <v>1587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</row>
    <row r="47" spans="1:28" x14ac:dyDescent="0.2">
      <c r="A47" t="s">
        <v>1619</v>
      </c>
      <c r="B47" t="s">
        <v>44</v>
      </c>
      <c r="C47">
        <v>24</v>
      </c>
      <c r="D47">
        <v>0</v>
      </c>
      <c r="E47" t="s">
        <v>886</v>
      </c>
      <c r="F47" t="s">
        <v>1587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</row>
    <row r="48" spans="1:28" x14ac:dyDescent="0.2">
      <c r="A48" t="s">
        <v>1620</v>
      </c>
      <c r="B48" t="s">
        <v>44</v>
      </c>
      <c r="C48">
        <v>23</v>
      </c>
      <c r="D48">
        <v>0</v>
      </c>
      <c r="E48" t="s">
        <v>108</v>
      </c>
      <c r="F48" t="s">
        <v>1587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</row>
    <row r="49" spans="1:28" x14ac:dyDescent="0.2">
      <c r="A49" t="s">
        <v>1621</v>
      </c>
      <c r="B49" t="s">
        <v>44</v>
      </c>
      <c r="C49">
        <v>24</v>
      </c>
      <c r="D49">
        <v>0</v>
      </c>
      <c r="E49" t="s">
        <v>394</v>
      </c>
      <c r="F49" t="s">
        <v>1587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</row>
    <row r="50" spans="1:28" x14ac:dyDescent="0.2">
      <c r="A50" t="s">
        <v>1622</v>
      </c>
      <c r="B50" t="s">
        <v>44</v>
      </c>
      <c r="C50">
        <v>23</v>
      </c>
      <c r="D50">
        <v>0</v>
      </c>
      <c r="E50" t="s">
        <v>171</v>
      </c>
      <c r="F50" t="s">
        <v>1587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</row>
    <row r="51" spans="1:28" x14ac:dyDescent="0.2">
      <c r="A51" t="s">
        <v>1623</v>
      </c>
      <c r="B51" t="s">
        <v>44</v>
      </c>
      <c r="C51">
        <v>24</v>
      </c>
      <c r="D51">
        <v>1</v>
      </c>
      <c r="E51" t="s">
        <v>1624</v>
      </c>
      <c r="F51" t="s">
        <v>1587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</row>
    <row r="52" spans="1:28" x14ac:dyDescent="0.2">
      <c r="A52" t="s">
        <v>1625</v>
      </c>
      <c r="B52" t="s">
        <v>44</v>
      </c>
      <c r="C52">
        <v>24</v>
      </c>
      <c r="D52">
        <v>3</v>
      </c>
      <c r="E52" t="s">
        <v>222</v>
      </c>
      <c r="F52" t="s">
        <v>1587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</row>
    <row r="53" spans="1:28" x14ac:dyDescent="0.2">
      <c r="A53" t="s">
        <v>1626</v>
      </c>
      <c r="B53" t="s">
        <v>44</v>
      </c>
      <c r="C53">
        <v>30</v>
      </c>
      <c r="D53">
        <v>8</v>
      </c>
      <c r="E53" t="s">
        <v>133</v>
      </c>
      <c r="F53" t="s">
        <v>1587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</row>
    <row r="54" spans="1:28" x14ac:dyDescent="0.2">
      <c r="A54" t="s">
        <v>1627</v>
      </c>
      <c r="B54" t="s">
        <v>44</v>
      </c>
      <c r="C54">
        <v>24</v>
      </c>
      <c r="D54">
        <v>2</v>
      </c>
      <c r="E54" t="s">
        <v>473</v>
      </c>
      <c r="F54" t="s">
        <v>1587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</row>
    <row r="55" spans="1:28" x14ac:dyDescent="0.2">
      <c r="A55" t="s">
        <v>1628</v>
      </c>
      <c r="B55" t="s">
        <v>44</v>
      </c>
      <c r="C55">
        <v>24</v>
      </c>
      <c r="D55">
        <v>1</v>
      </c>
      <c r="E55" t="s">
        <v>234</v>
      </c>
      <c r="F55" t="s">
        <v>1587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</row>
    <row r="56" spans="1:28" x14ac:dyDescent="0.2">
      <c r="A56" t="s">
        <v>1629</v>
      </c>
      <c r="B56" t="s">
        <v>44</v>
      </c>
      <c r="C56">
        <v>26</v>
      </c>
      <c r="D56">
        <v>4</v>
      </c>
      <c r="E56" t="s">
        <v>361</v>
      </c>
      <c r="F56" t="s">
        <v>1587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</row>
    <row r="57" spans="1:28" x14ac:dyDescent="0.2">
      <c r="A57" t="s">
        <v>1630</v>
      </c>
      <c r="B57" t="s">
        <v>39</v>
      </c>
      <c r="C57">
        <v>26</v>
      </c>
      <c r="D57">
        <v>1</v>
      </c>
      <c r="E57" t="s">
        <v>363</v>
      </c>
      <c r="F57" t="s">
        <v>1587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</row>
    <row r="58" spans="1:28" x14ac:dyDescent="0.2">
      <c r="A58" t="s">
        <v>1631</v>
      </c>
      <c r="B58" t="s">
        <v>39</v>
      </c>
      <c r="C58">
        <v>26</v>
      </c>
      <c r="D58">
        <v>1</v>
      </c>
      <c r="E58" t="s">
        <v>678</v>
      </c>
      <c r="F58" t="s">
        <v>1587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</row>
    <row r="59" spans="1:28" x14ac:dyDescent="0.2">
      <c r="A59" t="s">
        <v>1632</v>
      </c>
      <c r="B59" t="s">
        <v>39</v>
      </c>
      <c r="C59">
        <v>23</v>
      </c>
      <c r="D59">
        <v>2</v>
      </c>
      <c r="E59" t="s">
        <v>227</v>
      </c>
      <c r="F59" t="s">
        <v>1587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</row>
    <row r="60" spans="1:28" x14ac:dyDescent="0.2">
      <c r="A60" t="s">
        <v>1633</v>
      </c>
      <c r="B60" t="s">
        <v>39</v>
      </c>
      <c r="C60">
        <v>28</v>
      </c>
      <c r="D60">
        <v>3</v>
      </c>
      <c r="E60" t="s">
        <v>618</v>
      </c>
      <c r="F60" t="s">
        <v>1587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</row>
    <row r="61" spans="1:28" x14ac:dyDescent="0.2">
      <c r="A61" t="s">
        <v>1634</v>
      </c>
      <c r="B61" t="s">
        <v>39</v>
      </c>
      <c r="C61">
        <v>25</v>
      </c>
      <c r="D61">
        <v>1</v>
      </c>
      <c r="E61" t="s">
        <v>148</v>
      </c>
      <c r="F61" t="s">
        <v>1587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</row>
    <row r="62" spans="1:28" x14ac:dyDescent="0.2">
      <c r="A62" t="s">
        <v>1635</v>
      </c>
      <c r="B62" t="s">
        <v>39</v>
      </c>
      <c r="C62">
        <v>27</v>
      </c>
      <c r="D62">
        <v>5</v>
      </c>
      <c r="E62" t="s">
        <v>345</v>
      </c>
      <c r="F62" t="s">
        <v>1587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</row>
    <row r="63" spans="1:28" x14ac:dyDescent="0.2">
      <c r="A63" t="s">
        <v>1636</v>
      </c>
      <c r="B63" t="s">
        <v>39</v>
      </c>
      <c r="C63">
        <v>23</v>
      </c>
      <c r="D63">
        <v>0</v>
      </c>
      <c r="E63" t="s">
        <v>133</v>
      </c>
      <c r="F63" t="s">
        <v>1587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AB36"/>
  <sheetViews>
    <sheetView workbookViewId="0"/>
  </sheetViews>
  <sheetFormatPr baseColWidth="10" defaultRowHeight="15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">
      <c r="A2" t="s">
        <v>1637</v>
      </c>
      <c r="B2" t="s">
        <v>1638</v>
      </c>
      <c r="C2" t="s">
        <v>27</v>
      </c>
      <c r="D2">
        <v>8</v>
      </c>
      <c r="E2">
        <v>276</v>
      </c>
      <c r="F2">
        <v>172</v>
      </c>
      <c r="G2">
        <v>1755</v>
      </c>
      <c r="H2">
        <v>11</v>
      </c>
      <c r="I2">
        <v>9</v>
      </c>
      <c r="J2">
        <v>22</v>
      </c>
      <c r="K2">
        <v>86</v>
      </c>
      <c r="L2">
        <v>1</v>
      </c>
      <c r="M2">
        <v>0</v>
      </c>
      <c r="N2">
        <v>0</v>
      </c>
      <c r="O2">
        <v>0</v>
      </c>
      <c r="P2">
        <v>0</v>
      </c>
      <c r="Q2">
        <v>1</v>
      </c>
      <c r="R2">
        <v>2</v>
      </c>
      <c r="S2">
        <v>112.8</v>
      </c>
      <c r="T2">
        <v>0</v>
      </c>
      <c r="U2">
        <v>3.9090909090909101</v>
      </c>
      <c r="W2">
        <v>0.623188405797101</v>
      </c>
      <c r="X2">
        <v>3.9855072463768099E-2</v>
      </c>
      <c r="Y2">
        <v>121.8</v>
      </c>
    </row>
    <row r="3" spans="1:25" x14ac:dyDescent="0.2">
      <c r="A3" t="s">
        <v>1639</v>
      </c>
      <c r="B3" t="s">
        <v>1638</v>
      </c>
      <c r="C3" t="s">
        <v>27</v>
      </c>
      <c r="D3">
        <v>1</v>
      </c>
      <c r="E3">
        <v>19</v>
      </c>
      <c r="F3">
        <v>11</v>
      </c>
      <c r="G3">
        <v>169</v>
      </c>
      <c r="H3">
        <v>1</v>
      </c>
      <c r="I3">
        <v>1</v>
      </c>
      <c r="J3">
        <v>5</v>
      </c>
      <c r="K3">
        <v>35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18.260000000000002</v>
      </c>
      <c r="T3">
        <v>0</v>
      </c>
      <c r="U3">
        <v>7</v>
      </c>
      <c r="W3">
        <v>0.57894736842105299</v>
      </c>
      <c r="X3">
        <v>5.2631578947368397E-2</v>
      </c>
      <c r="Y3">
        <v>19.260000000000002</v>
      </c>
    </row>
    <row r="4" spans="1:25" x14ac:dyDescent="0.2">
      <c r="A4" t="s">
        <v>1640</v>
      </c>
      <c r="B4" t="s">
        <v>1638</v>
      </c>
      <c r="C4" t="s">
        <v>27</v>
      </c>
      <c r="D4">
        <v>9</v>
      </c>
      <c r="E4">
        <v>259</v>
      </c>
      <c r="F4">
        <v>161</v>
      </c>
      <c r="G4">
        <v>1859</v>
      </c>
      <c r="H4">
        <v>12</v>
      </c>
      <c r="I4">
        <v>6</v>
      </c>
      <c r="J4">
        <v>28</v>
      </c>
      <c r="K4">
        <v>96</v>
      </c>
      <c r="L4">
        <v>1</v>
      </c>
      <c r="M4">
        <v>0</v>
      </c>
      <c r="N4">
        <v>0</v>
      </c>
      <c r="O4">
        <v>0</v>
      </c>
      <c r="P4">
        <v>0</v>
      </c>
      <c r="Q4">
        <v>5</v>
      </c>
      <c r="R4">
        <v>0</v>
      </c>
      <c r="S4">
        <v>115.96</v>
      </c>
      <c r="T4">
        <v>0</v>
      </c>
      <c r="U4">
        <v>3.4285714285714302</v>
      </c>
      <c r="W4">
        <v>0.62162162162162204</v>
      </c>
      <c r="X4">
        <v>4.6332046332046302E-2</v>
      </c>
      <c r="Y4">
        <v>121.96</v>
      </c>
    </row>
    <row r="5" spans="1:25" x14ac:dyDescent="0.2">
      <c r="A5" t="s">
        <v>1641</v>
      </c>
      <c r="B5" t="s">
        <v>1638</v>
      </c>
      <c r="C5" t="s">
        <v>32</v>
      </c>
      <c r="D5">
        <v>15</v>
      </c>
      <c r="E5">
        <v>0</v>
      </c>
      <c r="F5">
        <v>0</v>
      </c>
      <c r="G5">
        <v>0</v>
      </c>
      <c r="H5">
        <v>0</v>
      </c>
      <c r="I5">
        <v>0</v>
      </c>
      <c r="J5">
        <v>149</v>
      </c>
      <c r="K5">
        <v>546</v>
      </c>
      <c r="L5">
        <v>3</v>
      </c>
      <c r="M5">
        <v>58</v>
      </c>
      <c r="N5">
        <v>46</v>
      </c>
      <c r="O5">
        <v>353</v>
      </c>
      <c r="P5">
        <v>2</v>
      </c>
      <c r="Q5">
        <v>0</v>
      </c>
      <c r="R5">
        <v>0</v>
      </c>
      <c r="S5">
        <v>165.9</v>
      </c>
      <c r="T5">
        <v>0.12719298245614</v>
      </c>
      <c r="U5">
        <v>3.6644295302013399</v>
      </c>
      <c r="V5">
        <v>7.6739130434782599</v>
      </c>
      <c r="Y5">
        <v>142.9</v>
      </c>
    </row>
    <row r="6" spans="1:25" x14ac:dyDescent="0.2">
      <c r="A6" t="s">
        <v>1642</v>
      </c>
      <c r="B6" t="s">
        <v>1638</v>
      </c>
      <c r="C6" t="s">
        <v>32</v>
      </c>
      <c r="D6">
        <v>12</v>
      </c>
      <c r="E6">
        <v>0</v>
      </c>
      <c r="F6">
        <v>0</v>
      </c>
      <c r="G6">
        <v>0</v>
      </c>
      <c r="H6">
        <v>0</v>
      </c>
      <c r="I6">
        <v>0</v>
      </c>
      <c r="J6">
        <v>205</v>
      </c>
      <c r="K6">
        <v>797</v>
      </c>
      <c r="L6">
        <v>2</v>
      </c>
      <c r="M6">
        <v>12</v>
      </c>
      <c r="N6">
        <v>9</v>
      </c>
      <c r="O6">
        <v>60</v>
      </c>
      <c r="P6">
        <v>1</v>
      </c>
      <c r="Q6">
        <v>0</v>
      </c>
      <c r="R6">
        <v>0</v>
      </c>
      <c r="S6">
        <v>112.7</v>
      </c>
      <c r="T6">
        <v>2.6315789473684199E-2</v>
      </c>
      <c r="U6">
        <v>3.8878048780487799</v>
      </c>
      <c r="V6">
        <v>6.6666666666666696</v>
      </c>
      <c r="Y6">
        <v>108.2</v>
      </c>
    </row>
    <row r="7" spans="1:25" x14ac:dyDescent="0.2">
      <c r="A7" t="s">
        <v>1643</v>
      </c>
      <c r="B7" t="s">
        <v>1638</v>
      </c>
      <c r="C7" t="s">
        <v>32</v>
      </c>
      <c r="D7">
        <v>8</v>
      </c>
      <c r="E7">
        <v>0</v>
      </c>
      <c r="F7">
        <v>0</v>
      </c>
      <c r="G7">
        <v>0</v>
      </c>
      <c r="H7">
        <v>0</v>
      </c>
      <c r="I7">
        <v>0</v>
      </c>
      <c r="J7">
        <v>22</v>
      </c>
      <c r="K7">
        <v>95</v>
      </c>
      <c r="L7">
        <v>0</v>
      </c>
      <c r="M7">
        <v>40</v>
      </c>
      <c r="N7">
        <v>27</v>
      </c>
      <c r="O7">
        <v>173</v>
      </c>
      <c r="P7">
        <v>0</v>
      </c>
      <c r="Q7">
        <v>0</v>
      </c>
      <c r="R7">
        <v>0</v>
      </c>
      <c r="S7">
        <v>55.8</v>
      </c>
      <c r="T7">
        <v>8.7719298245614002E-2</v>
      </c>
      <c r="U7">
        <v>4.3181818181818201</v>
      </c>
      <c r="V7">
        <v>6.4074074074074101</v>
      </c>
      <c r="Y7">
        <v>40.299999999999997</v>
      </c>
    </row>
    <row r="8" spans="1:25" x14ac:dyDescent="0.2">
      <c r="A8" t="s">
        <v>1644</v>
      </c>
      <c r="B8" t="s">
        <v>1638</v>
      </c>
      <c r="C8" t="s">
        <v>32</v>
      </c>
      <c r="D8">
        <v>1</v>
      </c>
      <c r="E8">
        <v>0</v>
      </c>
      <c r="F8">
        <v>0</v>
      </c>
      <c r="G8">
        <v>0</v>
      </c>
      <c r="H8">
        <v>0</v>
      </c>
      <c r="I8">
        <v>0</v>
      </c>
      <c r="J8">
        <v>17</v>
      </c>
      <c r="K8">
        <v>78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7.8</v>
      </c>
      <c r="T8">
        <v>2.1929824561403499E-3</v>
      </c>
      <c r="U8">
        <v>4.5882352941176503</v>
      </c>
      <c r="Y8">
        <v>7.8</v>
      </c>
    </row>
    <row r="9" spans="1:25" x14ac:dyDescent="0.2">
      <c r="A9" t="s">
        <v>589</v>
      </c>
      <c r="B9" t="s">
        <v>1638</v>
      </c>
      <c r="C9" t="s">
        <v>32</v>
      </c>
      <c r="D9">
        <v>7</v>
      </c>
      <c r="E9">
        <v>0</v>
      </c>
      <c r="F9">
        <v>0</v>
      </c>
      <c r="G9">
        <v>0</v>
      </c>
      <c r="H9">
        <v>0</v>
      </c>
      <c r="I9">
        <v>0</v>
      </c>
      <c r="J9">
        <v>37</v>
      </c>
      <c r="K9">
        <v>152</v>
      </c>
      <c r="L9">
        <v>0</v>
      </c>
      <c r="M9">
        <v>10</v>
      </c>
      <c r="N9">
        <v>7</v>
      </c>
      <c r="O9">
        <v>40</v>
      </c>
      <c r="P9">
        <v>0</v>
      </c>
      <c r="Q9">
        <v>0</v>
      </c>
      <c r="R9">
        <v>0</v>
      </c>
      <c r="S9">
        <v>26.2</v>
      </c>
      <c r="T9">
        <v>2.1929824561403501E-2</v>
      </c>
      <c r="U9">
        <v>4.1081081081081097</v>
      </c>
      <c r="V9">
        <v>5.71428571428571</v>
      </c>
      <c r="Y9">
        <v>22.7</v>
      </c>
    </row>
    <row r="10" spans="1:25" x14ac:dyDescent="0.2">
      <c r="A10" t="s">
        <v>1645</v>
      </c>
      <c r="B10" t="s">
        <v>1638</v>
      </c>
      <c r="C10" t="s">
        <v>32</v>
      </c>
      <c r="D10">
        <v>1</v>
      </c>
      <c r="E10">
        <v>0</v>
      </c>
      <c r="F10">
        <v>0</v>
      </c>
      <c r="G10">
        <v>0</v>
      </c>
      <c r="H10">
        <v>0</v>
      </c>
      <c r="I10">
        <v>0</v>
      </c>
      <c r="J10">
        <v>3</v>
      </c>
      <c r="K10">
        <v>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0.8</v>
      </c>
      <c r="T10">
        <v>0</v>
      </c>
      <c r="U10">
        <v>2.6666666666666701</v>
      </c>
      <c r="Y10">
        <v>0.8</v>
      </c>
    </row>
    <row r="11" spans="1:25" x14ac:dyDescent="0.2">
      <c r="A11" t="s">
        <v>1646</v>
      </c>
      <c r="B11" t="s">
        <v>1638</v>
      </c>
      <c r="C11" t="s">
        <v>39</v>
      </c>
      <c r="D11">
        <v>5</v>
      </c>
      <c r="E11">
        <v>0</v>
      </c>
      <c r="F11">
        <v>0</v>
      </c>
      <c r="G11">
        <v>0</v>
      </c>
      <c r="H11">
        <v>0</v>
      </c>
      <c r="I11">
        <v>0</v>
      </c>
      <c r="J11">
        <v>2</v>
      </c>
      <c r="K11">
        <v>26</v>
      </c>
      <c r="L11">
        <v>0</v>
      </c>
      <c r="M11">
        <v>6</v>
      </c>
      <c r="N11">
        <v>5</v>
      </c>
      <c r="O11">
        <v>64</v>
      </c>
      <c r="P11">
        <v>0</v>
      </c>
      <c r="Q11">
        <v>0</v>
      </c>
      <c r="R11">
        <v>0</v>
      </c>
      <c r="S11">
        <v>14</v>
      </c>
      <c r="T11">
        <v>1.3157894736842099E-2</v>
      </c>
      <c r="U11">
        <v>13</v>
      </c>
      <c r="V11">
        <v>12.8</v>
      </c>
      <c r="Y11">
        <v>11.5</v>
      </c>
    </row>
    <row r="12" spans="1:25" x14ac:dyDescent="0.2">
      <c r="A12" t="s">
        <v>1647</v>
      </c>
      <c r="B12" t="s">
        <v>1638</v>
      </c>
      <c r="C12" t="s">
        <v>39</v>
      </c>
      <c r="D12">
        <v>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9</v>
      </c>
      <c r="N12">
        <v>2</v>
      </c>
      <c r="O12">
        <v>23</v>
      </c>
      <c r="P12">
        <v>0</v>
      </c>
      <c r="Q12">
        <v>0</v>
      </c>
      <c r="R12">
        <v>0</v>
      </c>
      <c r="S12">
        <v>4.3</v>
      </c>
      <c r="T12">
        <v>1.9736842105263198E-2</v>
      </c>
      <c r="V12">
        <v>11.5</v>
      </c>
      <c r="Y12">
        <v>3.3</v>
      </c>
    </row>
    <row r="13" spans="1:25" x14ac:dyDescent="0.2">
      <c r="A13" t="s">
        <v>1648</v>
      </c>
      <c r="B13" t="s">
        <v>1638</v>
      </c>
      <c r="C13" t="s">
        <v>39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22</v>
      </c>
      <c r="N13">
        <v>14</v>
      </c>
      <c r="O13">
        <v>108</v>
      </c>
      <c r="P13">
        <v>1</v>
      </c>
      <c r="Q13">
        <v>0</v>
      </c>
      <c r="R13">
        <v>0</v>
      </c>
      <c r="S13">
        <v>30.8</v>
      </c>
      <c r="T13">
        <v>4.8245614035087703E-2</v>
      </c>
      <c r="V13">
        <v>7.71428571428571</v>
      </c>
      <c r="Y13">
        <v>23.8</v>
      </c>
    </row>
    <row r="14" spans="1:25" x14ac:dyDescent="0.2">
      <c r="A14" t="s">
        <v>1649</v>
      </c>
      <c r="B14" t="s">
        <v>1638</v>
      </c>
      <c r="C14" t="s">
        <v>39</v>
      </c>
      <c r="D14">
        <v>13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61</v>
      </c>
      <c r="N14">
        <v>39</v>
      </c>
      <c r="O14">
        <v>323</v>
      </c>
      <c r="P14">
        <v>1</v>
      </c>
      <c r="Q14">
        <v>0</v>
      </c>
      <c r="R14">
        <v>0</v>
      </c>
      <c r="S14">
        <v>77.3</v>
      </c>
      <c r="T14">
        <v>0.13377192982456099</v>
      </c>
      <c r="V14">
        <v>8.2820512820512793</v>
      </c>
      <c r="Y14">
        <v>57.8</v>
      </c>
    </row>
    <row r="15" spans="1:25" x14ac:dyDescent="0.2">
      <c r="A15" t="s">
        <v>1650</v>
      </c>
      <c r="B15" t="s">
        <v>1638</v>
      </c>
      <c r="C15" t="s">
        <v>44</v>
      </c>
      <c r="D15">
        <v>17</v>
      </c>
      <c r="E15">
        <v>0</v>
      </c>
      <c r="F15">
        <v>0</v>
      </c>
      <c r="G15">
        <v>0</v>
      </c>
      <c r="H15">
        <v>0</v>
      </c>
      <c r="I15">
        <v>0</v>
      </c>
      <c r="J15">
        <v>38</v>
      </c>
      <c r="K15">
        <v>187</v>
      </c>
      <c r="L15">
        <v>1</v>
      </c>
      <c r="M15">
        <v>92</v>
      </c>
      <c r="N15">
        <v>64</v>
      </c>
      <c r="O15">
        <v>656</v>
      </c>
      <c r="P15">
        <v>4</v>
      </c>
      <c r="Q15">
        <v>1</v>
      </c>
      <c r="R15">
        <v>0</v>
      </c>
      <c r="S15">
        <v>176.3</v>
      </c>
      <c r="T15">
        <v>0.20175438596491199</v>
      </c>
      <c r="U15">
        <v>4.9210526315789496</v>
      </c>
      <c r="V15">
        <v>10.25</v>
      </c>
      <c r="Y15">
        <v>144.30000000000001</v>
      </c>
    </row>
    <row r="16" spans="1:25" x14ac:dyDescent="0.2">
      <c r="A16" t="s">
        <v>1651</v>
      </c>
      <c r="B16" t="s">
        <v>1638</v>
      </c>
      <c r="C16" t="s">
        <v>44</v>
      </c>
      <c r="D16">
        <v>12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18</v>
      </c>
      <c r="N16">
        <v>8</v>
      </c>
      <c r="O16">
        <v>89</v>
      </c>
      <c r="P16">
        <v>0</v>
      </c>
      <c r="Q16">
        <v>0</v>
      </c>
      <c r="R16">
        <v>0</v>
      </c>
      <c r="S16">
        <v>16.899999999999999</v>
      </c>
      <c r="T16">
        <v>3.94736842105263E-2</v>
      </c>
      <c r="V16">
        <v>11.125</v>
      </c>
      <c r="Y16">
        <v>12.9</v>
      </c>
    </row>
    <row r="17" spans="1:25" x14ac:dyDescent="0.2">
      <c r="A17" t="s">
        <v>1652</v>
      </c>
      <c r="B17" t="s">
        <v>1638</v>
      </c>
      <c r="C17" t="s">
        <v>44</v>
      </c>
      <c r="D17">
        <v>7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15</v>
      </c>
      <c r="L17">
        <v>0</v>
      </c>
      <c r="M17">
        <v>14</v>
      </c>
      <c r="N17">
        <v>5</v>
      </c>
      <c r="O17">
        <v>143</v>
      </c>
      <c r="P17">
        <v>2</v>
      </c>
      <c r="Q17">
        <v>0</v>
      </c>
      <c r="R17">
        <v>0</v>
      </c>
      <c r="S17">
        <v>32.799999999999997</v>
      </c>
      <c r="T17">
        <v>3.07017543859649E-2</v>
      </c>
      <c r="U17">
        <v>15</v>
      </c>
      <c r="V17">
        <v>28.6</v>
      </c>
      <c r="Y17">
        <v>30.3</v>
      </c>
    </row>
    <row r="18" spans="1:25" x14ac:dyDescent="0.2">
      <c r="A18" t="s">
        <v>1653</v>
      </c>
      <c r="B18" t="s">
        <v>1638</v>
      </c>
      <c r="C18" t="s">
        <v>44</v>
      </c>
      <c r="D18">
        <v>7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7</v>
      </c>
      <c r="N18">
        <v>6</v>
      </c>
      <c r="O18">
        <v>37</v>
      </c>
      <c r="P18">
        <v>1</v>
      </c>
      <c r="Q18">
        <v>0</v>
      </c>
      <c r="R18">
        <v>0</v>
      </c>
      <c r="S18">
        <v>15.7</v>
      </c>
      <c r="T18">
        <v>1.53508771929825E-2</v>
      </c>
      <c r="V18">
        <v>6.1666666666666696</v>
      </c>
      <c r="Y18">
        <v>12.7</v>
      </c>
    </row>
    <row r="19" spans="1:25" x14ac:dyDescent="0.2">
      <c r="A19" t="s">
        <v>1654</v>
      </c>
      <c r="B19" t="s">
        <v>1638</v>
      </c>
      <c r="C19" t="s">
        <v>44</v>
      </c>
      <c r="D19">
        <v>12</v>
      </c>
      <c r="E19">
        <v>0</v>
      </c>
      <c r="F19">
        <v>0</v>
      </c>
      <c r="G19">
        <v>0</v>
      </c>
      <c r="H19">
        <v>0</v>
      </c>
      <c r="I19">
        <v>0</v>
      </c>
      <c r="J19">
        <v>2</v>
      </c>
      <c r="K19">
        <v>-7</v>
      </c>
      <c r="L19">
        <v>0</v>
      </c>
      <c r="M19">
        <v>61</v>
      </c>
      <c r="N19">
        <v>35</v>
      </c>
      <c r="O19">
        <v>523</v>
      </c>
      <c r="P19">
        <v>7</v>
      </c>
      <c r="Q19">
        <v>0</v>
      </c>
      <c r="R19">
        <v>0</v>
      </c>
      <c r="S19">
        <v>130.6</v>
      </c>
      <c r="T19">
        <v>0.13377192982456099</v>
      </c>
      <c r="U19">
        <v>-3.5</v>
      </c>
      <c r="V19">
        <v>14.9428571428571</v>
      </c>
      <c r="Y19">
        <v>111.1</v>
      </c>
    </row>
    <row r="20" spans="1:25" x14ac:dyDescent="0.2">
      <c r="A20" t="s">
        <v>1655</v>
      </c>
      <c r="B20" t="s">
        <v>1638</v>
      </c>
      <c r="C20" t="s">
        <v>44</v>
      </c>
      <c r="D20">
        <v>17</v>
      </c>
      <c r="E20">
        <v>0</v>
      </c>
      <c r="F20">
        <v>0</v>
      </c>
      <c r="G20">
        <v>0</v>
      </c>
      <c r="H20">
        <v>0</v>
      </c>
      <c r="I20">
        <v>0</v>
      </c>
      <c r="J20">
        <v>7</v>
      </c>
      <c r="K20">
        <v>29</v>
      </c>
      <c r="L20">
        <v>0</v>
      </c>
      <c r="M20">
        <v>120</v>
      </c>
      <c r="N20">
        <v>77</v>
      </c>
      <c r="O20">
        <v>1191</v>
      </c>
      <c r="P20">
        <v>5</v>
      </c>
      <c r="Q20">
        <v>0</v>
      </c>
      <c r="R20">
        <v>0</v>
      </c>
      <c r="S20">
        <v>229</v>
      </c>
      <c r="T20">
        <v>0.26315789473684198</v>
      </c>
      <c r="U20">
        <v>4.1428571428571397</v>
      </c>
      <c r="V20">
        <v>15.4675324675325</v>
      </c>
      <c r="Y20">
        <v>190.5</v>
      </c>
    </row>
    <row r="30" spans="1:25" x14ac:dyDescent="0.2">
      <c r="A30" t="s">
        <v>53</v>
      </c>
      <c r="B30" t="s">
        <v>54</v>
      </c>
      <c r="C30" t="s">
        <v>6</v>
      </c>
      <c r="D30" t="s">
        <v>9</v>
      </c>
      <c r="E30" t="s">
        <v>10</v>
      </c>
      <c r="F30" t="s">
        <v>11</v>
      </c>
      <c r="G30" t="s">
        <v>55</v>
      </c>
      <c r="H30" t="s">
        <v>4</v>
      </c>
      <c r="I30" t="s">
        <v>22</v>
      </c>
      <c r="J30" t="s">
        <v>7</v>
      </c>
      <c r="K30" t="s">
        <v>8</v>
      </c>
      <c r="L30" t="s">
        <v>16</v>
      </c>
    </row>
    <row r="31" spans="1:25" x14ac:dyDescent="0.2">
      <c r="A31" t="s">
        <v>1638</v>
      </c>
      <c r="B31">
        <v>5926</v>
      </c>
      <c r="C31">
        <v>3783</v>
      </c>
      <c r="D31">
        <v>538</v>
      </c>
      <c r="E31">
        <v>2143</v>
      </c>
      <c r="F31">
        <v>9</v>
      </c>
      <c r="G31">
        <v>1343.92</v>
      </c>
      <c r="H31">
        <v>554</v>
      </c>
      <c r="I31">
        <v>0.62093862815884504</v>
      </c>
      <c r="J31">
        <v>24</v>
      </c>
      <c r="K31">
        <v>16</v>
      </c>
      <c r="L31">
        <v>7</v>
      </c>
    </row>
    <row r="32" spans="1:25" x14ac:dyDescent="0.2">
      <c r="A32" t="s">
        <v>53</v>
      </c>
      <c r="B32" t="s">
        <v>54</v>
      </c>
      <c r="C32" t="s">
        <v>6</v>
      </c>
      <c r="D32" t="s">
        <v>9</v>
      </c>
      <c r="E32" t="s">
        <v>10</v>
      </c>
      <c r="F32" t="s">
        <v>11</v>
      </c>
      <c r="G32" t="s">
        <v>55</v>
      </c>
      <c r="H32" t="s">
        <v>4</v>
      </c>
      <c r="I32" t="s">
        <v>22</v>
      </c>
      <c r="J32" t="s">
        <v>7</v>
      </c>
      <c r="K32" t="s">
        <v>8</v>
      </c>
      <c r="L32" t="s">
        <v>16</v>
      </c>
    </row>
    <row r="33" spans="1:28" x14ac:dyDescent="0.2">
      <c r="A33" t="s">
        <v>56</v>
      </c>
      <c r="B33" t="s">
        <v>56</v>
      </c>
      <c r="C33" t="s">
        <v>56</v>
      </c>
      <c r="D33" t="s">
        <v>56</v>
      </c>
      <c r="E33" t="s">
        <v>56</v>
      </c>
      <c r="F33" t="s">
        <v>56</v>
      </c>
      <c r="G33" t="s">
        <v>56</v>
      </c>
      <c r="H33" t="s">
        <v>56</v>
      </c>
      <c r="I33" t="s">
        <v>56</v>
      </c>
      <c r="J33" t="s">
        <v>56</v>
      </c>
      <c r="K33" t="s">
        <v>56</v>
      </c>
      <c r="L33" t="s">
        <v>56</v>
      </c>
    </row>
    <row r="35" spans="1:28" x14ac:dyDescent="0.2">
      <c r="A35" t="s">
        <v>57</v>
      </c>
      <c r="B35" t="s">
        <v>58</v>
      </c>
      <c r="C35" t="s">
        <v>59</v>
      </c>
      <c r="D35" t="s">
        <v>60</v>
      </c>
      <c r="E35" t="s">
        <v>61</v>
      </c>
      <c r="F35" t="s">
        <v>53</v>
      </c>
      <c r="G35" t="s">
        <v>3</v>
      </c>
      <c r="H35" t="s">
        <v>4</v>
      </c>
      <c r="I35" t="s">
        <v>5</v>
      </c>
      <c r="J35" t="s">
        <v>6</v>
      </c>
      <c r="K35" t="s">
        <v>7</v>
      </c>
      <c r="L35" t="s">
        <v>8</v>
      </c>
      <c r="M35" t="s">
        <v>9</v>
      </c>
      <c r="N35" t="s">
        <v>10</v>
      </c>
      <c r="O35" t="s">
        <v>11</v>
      </c>
      <c r="P35" t="s">
        <v>12</v>
      </c>
      <c r="Q35" t="s">
        <v>13</v>
      </c>
      <c r="R35" t="s">
        <v>14</v>
      </c>
      <c r="S35" t="s">
        <v>15</v>
      </c>
      <c r="T35" t="s">
        <v>16</v>
      </c>
      <c r="U35" t="s">
        <v>17</v>
      </c>
      <c r="V35" t="s">
        <v>18</v>
      </c>
      <c r="W35" t="s">
        <v>19</v>
      </c>
      <c r="X35" t="s">
        <v>20</v>
      </c>
      <c r="Y35" t="s">
        <v>21</v>
      </c>
      <c r="Z35" t="s">
        <v>22</v>
      </c>
      <c r="AA35" t="s">
        <v>23</v>
      </c>
      <c r="AB35" t="s">
        <v>24</v>
      </c>
    </row>
    <row r="36" spans="1:28" x14ac:dyDescent="0.2">
      <c r="A36" t="s">
        <v>56</v>
      </c>
      <c r="B36" t="s">
        <v>56</v>
      </c>
      <c r="C36" t="s">
        <v>56</v>
      </c>
      <c r="D36" t="s">
        <v>56</v>
      </c>
      <c r="E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56</v>
      </c>
      <c r="M36" t="s">
        <v>56</v>
      </c>
      <c r="N36" t="s">
        <v>56</v>
      </c>
      <c r="O36" t="s">
        <v>56</v>
      </c>
      <c r="P36" t="s">
        <v>56</v>
      </c>
      <c r="Q36" t="s">
        <v>56</v>
      </c>
      <c r="R36" t="s">
        <v>56</v>
      </c>
      <c r="S36" t="s">
        <v>56</v>
      </c>
      <c r="T36" t="s">
        <v>56</v>
      </c>
      <c r="U36" t="s">
        <v>56</v>
      </c>
      <c r="V36" t="s">
        <v>56</v>
      </c>
      <c r="W36" t="s">
        <v>56</v>
      </c>
      <c r="X36" t="s">
        <v>56</v>
      </c>
      <c r="Y36" t="s">
        <v>56</v>
      </c>
      <c r="Z36" t="s">
        <v>56</v>
      </c>
      <c r="AA36" t="s">
        <v>56</v>
      </c>
      <c r="AB36" t="s">
        <v>56</v>
      </c>
    </row>
  </sheetData>
  <pageMargins left="0.7" right="0.7" top="0.75" bottom="0.75" header="0.3" footer="0.3"/>
  <pageSetup paperSize="9" orientation="portrait" horizontalDpi="300" verticalDpi="300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combined_tables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</dc:creator>
  <cp:lastModifiedBy>Microsoft Office User</cp:lastModifiedBy>
  <dcterms:created xsi:type="dcterms:W3CDTF">2023-07-15T16:23:17Z</dcterms:created>
  <dcterms:modified xsi:type="dcterms:W3CDTF">2023-08-05T07:43:24Z</dcterms:modified>
</cp:coreProperties>
</file>